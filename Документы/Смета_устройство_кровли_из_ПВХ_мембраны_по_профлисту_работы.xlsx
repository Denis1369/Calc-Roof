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Моя папка\Личка1\Расчеты_\Для калькулятора\"/>
    </mc:Choice>
  </mc:AlternateContent>
  <xr:revisionPtr revIDLastSave="0" documentId="13_ncr:1_{633B7F33-A613-4813-B0B2-6EC17BC2C7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4" i="1" l="1"/>
  <c r="E105" i="1" s="1"/>
  <c r="E106" i="1" s="1"/>
  <c r="C99" i="1"/>
  <c r="E99" i="1"/>
  <c r="E100" i="1" s="1"/>
  <c r="E101" i="1" s="1"/>
  <c r="E116" i="1"/>
  <c r="E94" i="1"/>
  <c r="E95" i="1" s="1"/>
  <c r="E96" i="1" s="1"/>
  <c r="E89" i="1"/>
  <c r="E90" i="1" s="1"/>
  <c r="E91" i="1" s="1"/>
  <c r="E84" i="1"/>
  <c r="E85" i="1" s="1"/>
  <c r="E86" i="1" s="1"/>
  <c r="E79" i="1"/>
  <c r="E80" i="1" s="1"/>
  <c r="E81" i="1" s="1"/>
  <c r="C37" i="1" l="1"/>
  <c r="C55" i="1" l="1"/>
  <c r="C53" i="1" s="1"/>
  <c r="E53" i="1" s="1"/>
  <c r="C47" i="1"/>
  <c r="C48" i="1"/>
  <c r="E114" i="1"/>
  <c r="E55" i="1" l="1"/>
  <c r="E32" i="1" l="1"/>
  <c r="E33" i="1" s="1"/>
  <c r="E28" i="1"/>
  <c r="E29" i="1" s="1"/>
  <c r="E24" i="1" l="1"/>
  <c r="E25" i="1" s="1"/>
  <c r="E74" i="1" l="1"/>
  <c r="E75" i="1" s="1"/>
  <c r="E76" i="1" s="1"/>
  <c r="E69" i="1" l="1"/>
  <c r="E64" i="1"/>
  <c r="E54" i="1"/>
  <c r="E56" i="1" s="1"/>
  <c r="E42" i="1"/>
  <c r="E48" i="1"/>
  <c r="E57" i="1" l="1"/>
  <c r="E70" i="1"/>
  <c r="E71" i="1" s="1"/>
  <c r="E65" i="1"/>
  <c r="E43" i="1"/>
  <c r="E44" i="1" s="1"/>
  <c r="E115" i="1"/>
  <c r="E117" i="1" s="1"/>
  <c r="E20" i="1"/>
  <c r="E21" i="1" s="1"/>
  <c r="E34" i="1" s="1"/>
  <c r="E109" i="1" l="1"/>
  <c r="E110" i="1" s="1"/>
  <c r="E111" i="1" s="1"/>
  <c r="E60" i="1"/>
  <c r="E61" i="1" s="1"/>
  <c r="E66" i="1" s="1"/>
  <c r="E47" i="1"/>
  <c r="E37" i="1"/>
  <c r="E38" i="1" s="1"/>
  <c r="E112" i="1" l="1"/>
  <c r="E49" i="1"/>
  <c r="E50" i="1" s="1"/>
  <c r="E39" i="1"/>
  <c r="E118" i="1" l="1"/>
</calcChain>
</file>

<file path=xl/sharedStrings.xml><?xml version="1.0" encoding="utf-8"?>
<sst xmlns="http://schemas.openxmlformats.org/spreadsheetml/2006/main" count="146" uniqueCount="65">
  <si>
    <t>Ед.изм.</t>
  </si>
  <si>
    <t>Кол-во</t>
  </si>
  <si>
    <t>Работы:</t>
  </si>
  <si>
    <t>м2</t>
  </si>
  <si>
    <t>Итого за работы:</t>
  </si>
  <si>
    <t>ИТОГО по Разделу:</t>
  </si>
  <si>
    <t>м/п</t>
  </si>
  <si>
    <t>шт</t>
  </si>
  <si>
    <t>Итого общая сумма по всем разделам:</t>
  </si>
  <si>
    <t>Согласовано</t>
  </si>
  <si>
    <t>Утверждаю</t>
  </si>
  <si>
    <t>СМЕТА №1</t>
  </si>
  <si>
    <t>«Подрядчик»</t>
  </si>
  <si>
    <t>«Заказчик»</t>
  </si>
  <si>
    <t>Монтаж прижимной и краевой кровельной планки</t>
  </si>
  <si>
    <t>ед</t>
  </si>
  <si>
    <t>Механическое крепление теплоизоляционного слоя</t>
  </si>
  <si>
    <t>Устройство водоприемных воронок</t>
  </si>
  <si>
    <t>Подъемы и механизмы:</t>
  </si>
  <si>
    <t>ИТОГО по Разделам монтажные работы кровля из ПВХ-мембраны:</t>
  </si>
  <si>
    <t>ООО «»</t>
  </si>
  <si>
    <t xml:space="preserve">ИНН / КПП </t>
  </si>
  <si>
    <t>Ген. Директор________________  ()</t>
  </si>
  <si>
    <t>Наименование работ</t>
  </si>
  <si>
    <t>Монтаж профилированного листа</t>
  </si>
  <si>
    <t xml:space="preserve">Устройство L-образного профиля в местах парапета и профилей усиления в ендове и на коньках </t>
  </si>
  <si>
    <t>Монтаж воронок внутреннего водоотведения</t>
  </si>
  <si>
    <t>Накладные, транспортные, организационные и утилизационные расходы:</t>
  </si>
  <si>
    <t>ИТОГО по Разделам накладные, транспортные, организационные и утилизационные расходы:</t>
  </si>
  <si>
    <t>Устройство прижимной и краевой алюминиевой планки</t>
  </si>
  <si>
    <t xml:space="preserve">Устройство L-образного профиля и профилей усиления (коньковые усиления, усиления ендов, усиления деф. шва) </t>
  </si>
  <si>
    <t>Устройство усиления мест воронок внутреннего водоотведения</t>
  </si>
  <si>
    <t>Устройство заполнения гофр профлиста НГ утеплителем на длину 250 мм</t>
  </si>
  <si>
    <t>Устройство пароизоляционного слоя из Паробарьера</t>
  </si>
  <si>
    <t>Устройство усиления мест воронок внутреннего водоотведения из оц. стали толщиной 0,5 мм</t>
  </si>
  <si>
    <t>Механическое крепление гидроизоляционного слоя (крепление с учетом ветровых зон)</t>
  </si>
  <si>
    <t>Приложение №1 к Договору подряда №_____ от ..2025 г.</t>
  </si>
  <si>
    <t>по Договору подряда №_____ от ..2025 г.</t>
  </si>
  <si>
    <t xml:space="preserve">Монтаж гидроизоляционного покрытия из ПВХ мембраны шириной 2 м (центральная зона), с продольным нахлестом не менее 120 мм и поперечным не менее 200 мм </t>
  </si>
  <si>
    <t>Монтаж профилированного листа Н-75</t>
  </si>
  <si>
    <t>Устройство примыканий к стойкам фахверка с утеплением</t>
  </si>
  <si>
    <t>Организационные и транспортные расходы:</t>
  </si>
  <si>
    <t>Устройство гидроизоляции примыканий к парапету из ПВХ-мембраны с высотой заведения более 450 мм (с промежуточным креплением)</t>
  </si>
  <si>
    <t>Устройство пароизоляционного слоя из пленки</t>
  </si>
  <si>
    <t>Цена за ед. с НДС-20%</t>
  </si>
  <si>
    <t>Сумма с НДС-20%</t>
  </si>
  <si>
    <t>Устройство контруклона из теплоизоляционных плит LogicPIR Slope 3,4%</t>
  </si>
  <si>
    <t>Устройство комбинированного теплоизоляционного слоя (Мин. Вата + ПИР) в два слоя с перехлестом швов, общей толщиной 100 мм</t>
  </si>
  <si>
    <t>Устройство примыкания гидроизоляционного покрытия из ПВХ-мембраны к парапету, с заведением ПВХ-мембраны за парапет, с высотой заведения более 500 мм (с доутеплением)</t>
  </si>
  <si>
    <t>Устройство примыкания к вытяжкам (В, ВД, ПД)</t>
  </si>
  <si>
    <t xml:space="preserve">Устройство примыканий к воздухозаборам </t>
  </si>
  <si>
    <t>Устройство примыканий к вентиляторам</t>
  </si>
  <si>
    <t>Устройство деф. Шва</t>
  </si>
  <si>
    <t>Утилизация и вывоз мусора</t>
  </si>
  <si>
    <t>Устройство примыканий стойкам блоков кондиционеров</t>
  </si>
  <si>
    <t>Устройство примыканий к гусакам для ввода кабеля</t>
  </si>
  <si>
    <t xml:space="preserve">Монтаж гидроизоляционного покрытия из ПВХ мембраны шириной 0.5-1 м (парапетная зона), с продольным нахлестом не менее 120 мм и поперечным не менее 200 мм. Общая ширина ветровой зоны - 12 м </t>
  </si>
  <si>
    <t>Устройство гидроизоляции стоек фахверка с утеплением</t>
  </si>
  <si>
    <t xml:space="preserve">Устройство пешеходных дорожек Puzzle </t>
  </si>
  <si>
    <t>Устройство гидроизоляционного покрытия из ПВХ-мембраны по плоскости с учетом ветровых зон</t>
  </si>
  <si>
    <t>ООО «СК-ЮГ»</t>
  </si>
  <si>
    <t>ИНН / КПП: 2312330110/ 231201001</t>
  </si>
  <si>
    <t>Ген. Директор________________  (Панюков А.А.)</t>
  </si>
  <si>
    <t xml:space="preserve">Наименование объекта: </t>
  </si>
  <si>
    <t xml:space="preserve">Данные крыши: Суммарная площадь кровель = 16 710 м2,
Суммарная площадь контруклонов = 3 383 м2,
Примыкания к парапету = 527 пог.м, 
Водоотведение внутреннее = 60 шт.,
Устройство деф.шва = 115 пог.м,
Примыкания к фахверковым стойкам = 93 шт.,
Устройство примыкания к Воздухозаборам = 4 шт., 
Устройство примыкания к пром. вентиляторам = 10 шт.,
Устройство примыкания к вытяжкам (В, ВД, ПД) = 167 шт.,
Устройство пешеходных дорожек Puzzle = 3983 шт.,
Устройство примыканий стойкам блоков кондиционеров = 74 шт.,
Устройство примыканий к гусакам для ввода кабеля = 196 шт.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</si>
</sst>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13" xfId="0" applyFont="1" applyBorder="1"/>
    <xf numFmtId="4" fontId="4" fillId="0" borderId="13" xfId="0" applyNumberFormat="1" applyFont="1" applyBorder="1" applyAlignment="1">
      <alignment horizontal="right"/>
    </xf>
    <xf numFmtId="0" fontId="4" fillId="0" borderId="13" xfId="0" applyFont="1" applyBorder="1" applyAlignment="1">
      <alignment wrapText="1"/>
    </xf>
    <xf numFmtId="0" fontId="4" fillId="4" borderId="13" xfId="0" applyFont="1" applyFill="1" applyBorder="1" applyAlignment="1">
      <alignment wrapText="1"/>
    </xf>
    <xf numFmtId="2" fontId="4" fillId="4" borderId="13" xfId="0" applyNumberFormat="1" applyFont="1" applyFill="1" applyBorder="1" applyAlignment="1">
      <alignment horizontal="right" wrapText="1"/>
    </xf>
    <xf numFmtId="164" fontId="4" fillId="4" borderId="13" xfId="0" applyNumberFormat="1" applyFont="1" applyFill="1" applyBorder="1" applyAlignment="1">
      <alignment horizontal="center" wrapText="1"/>
    </xf>
    <xf numFmtId="0" fontId="4" fillId="5" borderId="13" xfId="0" applyFont="1" applyFill="1" applyBorder="1" applyAlignment="1">
      <alignment wrapText="1"/>
    </xf>
    <xf numFmtId="2" fontId="4" fillId="4" borderId="13" xfId="0" applyNumberFormat="1" applyFont="1" applyFill="1" applyBorder="1" applyAlignment="1">
      <alignment horizontal="center" wrapText="1"/>
    </xf>
    <xf numFmtId="164" fontId="4" fillId="0" borderId="13" xfId="0" applyNumberFormat="1" applyFont="1" applyBorder="1" applyAlignment="1">
      <alignment wrapText="1"/>
    </xf>
    <xf numFmtId="2" fontId="4" fillId="4" borderId="13" xfId="0" applyNumberFormat="1" applyFont="1" applyFill="1" applyBorder="1" applyAlignment="1">
      <alignment wrapText="1"/>
    </xf>
    <xf numFmtId="164" fontId="7" fillId="4" borderId="13" xfId="0" applyNumberFormat="1" applyFont="1" applyFill="1" applyBorder="1" applyAlignment="1">
      <alignment wrapText="1"/>
    </xf>
    <xf numFmtId="164" fontId="4" fillId="4" borderId="13" xfId="0" applyNumberFormat="1" applyFont="1" applyFill="1" applyBorder="1" applyAlignment="1">
      <alignment wrapText="1"/>
    </xf>
    <xf numFmtId="164" fontId="4" fillId="5" borderId="13" xfId="0" applyNumberFormat="1" applyFont="1" applyFill="1" applyBorder="1" applyAlignment="1">
      <alignment wrapText="1"/>
    </xf>
    <xf numFmtId="0" fontId="7" fillId="4" borderId="13" xfId="0" applyFont="1" applyFill="1" applyBorder="1" applyAlignment="1">
      <alignment wrapText="1"/>
    </xf>
    <xf numFmtId="2" fontId="7" fillId="4" borderId="13" xfId="0" applyNumberFormat="1" applyFont="1" applyFill="1" applyBorder="1" applyAlignment="1">
      <alignment wrapText="1"/>
    </xf>
    <xf numFmtId="0" fontId="4" fillId="0" borderId="15" xfId="0" applyFont="1" applyBorder="1" applyAlignment="1">
      <alignment horizontal="left" vertical="center" wrapText="1"/>
    </xf>
    <xf numFmtId="164" fontId="4" fillId="0" borderId="16" xfId="0" applyNumberFormat="1" applyFont="1" applyBorder="1" applyAlignment="1">
      <alignment horizontal="right"/>
    </xf>
    <xf numFmtId="0" fontId="4" fillId="0" borderId="15" xfId="0" applyFont="1" applyBorder="1" applyAlignment="1">
      <alignment wrapText="1"/>
    </xf>
    <xf numFmtId="0" fontId="7" fillId="4" borderId="15" xfId="0" applyFont="1" applyFill="1" applyBorder="1" applyAlignment="1">
      <alignment horizontal="right" wrapText="1"/>
    </xf>
    <xf numFmtId="164" fontId="7" fillId="4" borderId="16" xfId="0" applyNumberFormat="1" applyFont="1" applyFill="1" applyBorder="1" applyAlignment="1">
      <alignment horizontal="right"/>
    </xf>
    <xf numFmtId="164" fontId="4" fillId="0" borderId="16" xfId="0" applyNumberFormat="1" applyFont="1" applyBorder="1" applyAlignment="1">
      <alignment horizontal="right" wrapText="1"/>
    </xf>
    <xf numFmtId="164" fontId="7" fillId="4" borderId="16" xfId="0" applyNumberFormat="1" applyFont="1" applyFill="1" applyBorder="1" applyAlignment="1">
      <alignment horizontal="right" wrapText="1"/>
    </xf>
    <xf numFmtId="0" fontId="4" fillId="5" borderId="15" xfId="0" applyFont="1" applyFill="1" applyBorder="1" applyAlignment="1">
      <alignment wrapText="1"/>
    </xf>
    <xf numFmtId="164" fontId="4" fillId="0" borderId="16" xfId="0" applyNumberFormat="1" applyFont="1" applyBorder="1" applyAlignment="1">
      <alignment wrapText="1"/>
    </xf>
    <xf numFmtId="164" fontId="4" fillId="5" borderId="16" xfId="0" applyNumberFormat="1" applyFont="1" applyFill="1" applyBorder="1" applyAlignment="1">
      <alignment wrapText="1"/>
    </xf>
    <xf numFmtId="0" fontId="7" fillId="2" borderId="17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wrapText="1"/>
    </xf>
    <xf numFmtId="2" fontId="7" fillId="2" borderId="18" xfId="0" applyNumberFormat="1" applyFont="1" applyFill="1" applyBorder="1" applyAlignment="1">
      <alignment wrapText="1"/>
    </xf>
    <xf numFmtId="164" fontId="7" fillId="2" borderId="18" xfId="0" applyNumberFormat="1" applyFont="1" applyFill="1" applyBorder="1" applyAlignment="1">
      <alignment wrapText="1"/>
    </xf>
    <xf numFmtId="0" fontId="6" fillId="0" borderId="20" xfId="0" applyFont="1" applyBorder="1" applyAlignment="1">
      <alignment horizontal="center" wrapText="1"/>
    </xf>
    <xf numFmtId="0" fontId="4" fillId="0" borderId="21" xfId="0" applyFont="1" applyBorder="1" applyAlignment="1">
      <alignment wrapText="1"/>
    </xf>
    <xf numFmtId="0" fontId="4" fillId="0" borderId="21" xfId="0" applyFont="1" applyBorder="1" applyAlignment="1">
      <alignment horizontal="center" wrapText="1"/>
    </xf>
    <xf numFmtId="164" fontId="4" fillId="0" borderId="21" xfId="0" applyNumberFormat="1" applyFont="1" applyBorder="1" applyAlignment="1">
      <alignment horizontal="center" wrapText="1"/>
    </xf>
    <xf numFmtId="164" fontId="4" fillId="0" borderId="22" xfId="0" applyNumberFormat="1" applyFont="1" applyBorder="1" applyAlignment="1">
      <alignment horizontal="right" wrapText="1"/>
    </xf>
    <xf numFmtId="0" fontId="7" fillId="2" borderId="23" xfId="0" applyFont="1" applyFill="1" applyBorder="1" applyAlignment="1">
      <alignment wrapText="1"/>
    </xf>
    <xf numFmtId="0" fontId="4" fillId="2" borderId="24" xfId="0" applyFont="1" applyFill="1" applyBorder="1" applyAlignment="1">
      <alignment wrapText="1"/>
    </xf>
    <xf numFmtId="2" fontId="4" fillId="2" borderId="24" xfId="0" applyNumberFormat="1" applyFont="1" applyFill="1" applyBorder="1" applyAlignment="1">
      <alignment horizontal="center" wrapText="1"/>
    </xf>
    <xf numFmtId="164" fontId="4" fillId="2" borderId="24" xfId="0" applyNumberFormat="1" applyFont="1" applyFill="1" applyBorder="1" applyAlignment="1">
      <alignment horizontal="center" wrapText="1"/>
    </xf>
    <xf numFmtId="164" fontId="7" fillId="2" borderId="25" xfId="0" applyNumberFormat="1" applyFont="1" applyFill="1" applyBorder="1" applyAlignment="1">
      <alignment horizontal="right" wrapText="1"/>
    </xf>
    <xf numFmtId="0" fontId="6" fillId="5" borderId="20" xfId="0" applyFont="1" applyFill="1" applyBorder="1" applyAlignment="1">
      <alignment horizontal="center" wrapText="1"/>
    </xf>
    <xf numFmtId="0" fontId="4" fillId="5" borderId="21" xfId="0" applyFont="1" applyFill="1" applyBorder="1" applyAlignment="1">
      <alignment wrapText="1"/>
    </xf>
    <xf numFmtId="2" fontId="4" fillId="5" borderId="21" xfId="0" applyNumberFormat="1" applyFont="1" applyFill="1" applyBorder="1" applyAlignment="1">
      <alignment horizontal="center" wrapText="1"/>
    </xf>
    <xf numFmtId="164" fontId="4" fillId="5" borderId="21" xfId="0" applyNumberFormat="1" applyFont="1" applyFill="1" applyBorder="1" applyAlignment="1">
      <alignment horizontal="center" wrapText="1"/>
    </xf>
    <xf numFmtId="164" fontId="7" fillId="5" borderId="22" xfId="0" applyNumberFormat="1" applyFont="1" applyFill="1" applyBorder="1" applyAlignment="1">
      <alignment horizontal="right" wrapText="1"/>
    </xf>
    <xf numFmtId="2" fontId="4" fillId="0" borderId="21" xfId="0" applyNumberFormat="1" applyFont="1" applyBorder="1" applyAlignment="1">
      <alignment horizontal="center" wrapText="1"/>
    </xf>
    <xf numFmtId="0" fontId="4" fillId="0" borderId="22" xfId="0" applyFont="1" applyBorder="1" applyAlignment="1">
      <alignment wrapText="1"/>
    </xf>
    <xf numFmtId="0" fontId="7" fillId="2" borderId="24" xfId="0" applyFont="1" applyFill="1" applyBorder="1" applyAlignment="1">
      <alignment wrapText="1"/>
    </xf>
    <xf numFmtId="2" fontId="7" fillId="2" borderId="24" xfId="0" applyNumberFormat="1" applyFont="1" applyFill="1" applyBorder="1" applyAlignment="1">
      <alignment wrapText="1"/>
    </xf>
    <xf numFmtId="164" fontId="7" fillId="2" borderId="24" xfId="0" applyNumberFormat="1" applyFont="1" applyFill="1" applyBorder="1" applyAlignment="1">
      <alignment wrapText="1"/>
    </xf>
    <xf numFmtId="0" fontId="7" fillId="5" borderId="21" xfId="0" applyFont="1" applyFill="1" applyBorder="1" applyAlignment="1">
      <alignment wrapText="1"/>
    </xf>
    <xf numFmtId="2" fontId="7" fillId="5" borderId="21" xfId="0" applyNumberFormat="1" applyFont="1" applyFill="1" applyBorder="1" applyAlignment="1">
      <alignment wrapText="1"/>
    </xf>
    <xf numFmtId="164" fontId="7" fillId="5" borderId="21" xfId="0" applyNumberFormat="1" applyFont="1" applyFill="1" applyBorder="1" applyAlignment="1">
      <alignment wrapText="1"/>
    </xf>
    <xf numFmtId="164" fontId="7" fillId="5" borderId="22" xfId="0" applyNumberFormat="1" applyFont="1" applyFill="1" applyBorder="1" applyAlignment="1">
      <alignment wrapText="1"/>
    </xf>
    <xf numFmtId="0" fontId="7" fillId="2" borderId="23" xfId="0" applyFont="1" applyFill="1" applyBorder="1" applyAlignment="1">
      <alignment horizontal="left" wrapText="1"/>
    </xf>
    <xf numFmtId="164" fontId="10" fillId="4" borderId="14" xfId="0" applyNumberFormat="1" applyFont="1" applyFill="1" applyBorder="1" applyAlignment="1">
      <alignment horizontal="center" vertical="center" wrapText="1"/>
    </xf>
    <xf numFmtId="0" fontId="4" fillId="5" borderId="13" xfId="0" applyFont="1" applyFill="1" applyBorder="1"/>
    <xf numFmtId="164" fontId="4" fillId="5" borderId="13" xfId="0" applyNumberFormat="1" applyFont="1" applyFill="1" applyBorder="1" applyAlignment="1">
      <alignment horizontal="right"/>
    </xf>
    <xf numFmtId="4" fontId="4" fillId="5" borderId="13" xfId="0" applyNumberFormat="1" applyFont="1" applyFill="1" applyBorder="1" applyAlignment="1">
      <alignment horizontal="right"/>
    </xf>
    <xf numFmtId="4" fontId="4" fillId="5" borderId="13" xfId="0" applyNumberFormat="1" applyFont="1" applyFill="1" applyBorder="1" applyAlignment="1">
      <alignment horizontal="right" wrapText="1"/>
    </xf>
    <xf numFmtId="4" fontId="4" fillId="5" borderId="13" xfId="0" applyNumberFormat="1" applyFont="1" applyFill="1" applyBorder="1" applyAlignment="1">
      <alignment wrapText="1"/>
    </xf>
    <xf numFmtId="164" fontId="4" fillId="5" borderId="16" xfId="0" applyNumberFormat="1" applyFont="1" applyFill="1" applyBorder="1" applyAlignment="1">
      <alignment horizontal="right"/>
    </xf>
    <xf numFmtId="0" fontId="7" fillId="4" borderId="15" xfId="0" applyFont="1" applyFill="1" applyBorder="1" applyAlignment="1">
      <alignment horizontal="right"/>
    </xf>
    <xf numFmtId="164" fontId="9" fillId="2" borderId="14" xfId="0" applyNumberFormat="1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/>
    </xf>
    <xf numFmtId="0" fontId="7" fillId="2" borderId="17" xfId="0" applyFont="1" applyFill="1" applyBorder="1"/>
    <xf numFmtId="0" fontId="7" fillId="2" borderId="18" xfId="0" applyFont="1" applyFill="1" applyBorder="1" applyAlignment="1">
      <alignment horizontal="center"/>
    </xf>
    <xf numFmtId="0" fontId="6" fillId="0" borderId="26" xfId="0" applyFont="1" applyBorder="1" applyAlignment="1">
      <alignment horizontal="center" vertical="center" wrapText="1"/>
    </xf>
    <xf numFmtId="0" fontId="3" fillId="0" borderId="27" xfId="0" applyFont="1" applyBorder="1"/>
    <xf numFmtId="0" fontId="3" fillId="0" borderId="28" xfId="0" applyFont="1" applyBorder="1"/>
    <xf numFmtId="164" fontId="7" fillId="2" borderId="19" xfId="0" applyNumberFormat="1" applyFont="1" applyFill="1" applyBorder="1" applyAlignment="1">
      <alignment horizontal="right"/>
    </xf>
    <xf numFmtId="0" fontId="6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7" fillId="2" borderId="17" xfId="0" applyFont="1" applyFill="1" applyBorder="1" applyAlignment="1">
      <alignment wrapText="1"/>
    </xf>
    <xf numFmtId="164" fontId="7" fillId="2" borderId="19" xfId="0" applyNumberFormat="1" applyFont="1" applyFill="1" applyBorder="1" applyAlignment="1">
      <alignment horizontal="right" wrapText="1"/>
    </xf>
    <xf numFmtId="164" fontId="4" fillId="0" borderId="13" xfId="0" applyNumberFormat="1" applyFont="1" applyBorder="1" applyAlignment="1">
      <alignment horizontal="right" wrapText="1"/>
    </xf>
    <xf numFmtId="164" fontId="4" fillId="5" borderId="13" xfId="0" applyNumberFormat="1" applyFont="1" applyFill="1" applyBorder="1" applyAlignment="1">
      <alignment horizontal="right" wrapText="1"/>
    </xf>
    <xf numFmtId="164" fontId="4" fillId="0" borderId="13" xfId="0" applyNumberFormat="1" applyFont="1" applyBorder="1" applyAlignment="1">
      <alignment horizontal="right"/>
    </xf>
    <xf numFmtId="164" fontId="4" fillId="5" borderId="16" xfId="0" applyNumberFormat="1" applyFont="1" applyFill="1" applyBorder="1" applyAlignment="1">
      <alignment horizontal="right" wrapText="1"/>
    </xf>
    <xf numFmtId="0" fontId="12" fillId="0" borderId="0" xfId="0" applyFont="1"/>
    <xf numFmtId="0" fontId="4" fillId="0" borderId="20" xfId="0" applyFont="1" applyBorder="1" applyAlignment="1">
      <alignment wrapText="1"/>
    </xf>
    <xf numFmtId="4" fontId="4" fillId="0" borderId="21" xfId="0" applyNumberFormat="1" applyFont="1" applyBorder="1" applyAlignment="1">
      <alignment wrapText="1"/>
    </xf>
    <xf numFmtId="164" fontId="4" fillId="0" borderId="22" xfId="0" applyNumberFormat="1" applyFont="1" applyBorder="1" applyAlignment="1">
      <alignment wrapText="1"/>
    </xf>
    <xf numFmtId="164" fontId="4" fillId="0" borderId="21" xfId="0" applyNumberFormat="1" applyFont="1" applyBorder="1" applyAlignment="1">
      <alignment horizontal="right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164" fontId="10" fillId="6" borderId="29" xfId="0" applyNumberFormat="1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wrapText="1"/>
    </xf>
    <xf numFmtId="4" fontId="8" fillId="6" borderId="13" xfId="0" applyNumberFormat="1" applyFont="1" applyFill="1" applyBorder="1" applyAlignment="1">
      <alignment wrapText="1"/>
    </xf>
    <xf numFmtId="164" fontId="8" fillId="6" borderId="13" xfId="0" applyNumberFormat="1" applyFont="1" applyFill="1" applyBorder="1" applyAlignment="1">
      <alignment wrapText="1"/>
    </xf>
    <xf numFmtId="0" fontId="8" fillId="6" borderId="26" xfId="0" applyFont="1" applyFill="1" applyBorder="1" applyAlignment="1">
      <alignment wrapText="1"/>
    </xf>
    <xf numFmtId="0" fontId="8" fillId="6" borderId="27" xfId="0" applyFont="1" applyFill="1" applyBorder="1" applyAlignment="1">
      <alignment wrapText="1"/>
    </xf>
    <xf numFmtId="4" fontId="8" fillId="6" borderId="27" xfId="0" applyNumberFormat="1" applyFont="1" applyFill="1" applyBorder="1" applyAlignment="1">
      <alignment wrapText="1"/>
    </xf>
    <xf numFmtId="164" fontId="8" fillId="6" borderId="27" xfId="0" applyNumberFormat="1" applyFont="1" applyFill="1" applyBorder="1" applyAlignment="1">
      <alignment wrapText="1"/>
    </xf>
    <xf numFmtId="164" fontId="8" fillId="6" borderId="28" xfId="0" applyNumberFormat="1" applyFont="1" applyFill="1" applyBorder="1" applyAlignment="1">
      <alignment wrapText="1"/>
    </xf>
    <xf numFmtId="0" fontId="8" fillId="6" borderId="15" xfId="0" applyFont="1" applyFill="1" applyBorder="1" applyAlignment="1">
      <alignment wrapText="1"/>
    </xf>
    <xf numFmtId="164" fontId="8" fillId="6" borderId="16" xfId="0" applyNumberFormat="1" applyFont="1" applyFill="1" applyBorder="1" applyAlignment="1">
      <alignment wrapText="1"/>
    </xf>
    <xf numFmtId="0" fontId="8" fillId="6" borderId="17" xfId="0" applyFont="1" applyFill="1" applyBorder="1" applyAlignment="1">
      <alignment wrapText="1"/>
    </xf>
    <xf numFmtId="0" fontId="8" fillId="6" borderId="18" xfId="0" applyFont="1" applyFill="1" applyBorder="1" applyAlignment="1">
      <alignment wrapText="1"/>
    </xf>
    <xf numFmtId="4" fontId="8" fillId="6" borderId="18" xfId="0" applyNumberFormat="1" applyFont="1" applyFill="1" applyBorder="1" applyAlignment="1">
      <alignment wrapText="1"/>
    </xf>
    <xf numFmtId="164" fontId="8" fillId="6" borderId="18" xfId="0" applyNumberFormat="1" applyFont="1" applyFill="1" applyBorder="1" applyAlignment="1">
      <alignment wrapText="1"/>
    </xf>
    <xf numFmtId="164" fontId="8" fillId="6" borderId="19" xfId="0" applyNumberFormat="1" applyFont="1" applyFill="1" applyBorder="1" applyAlignment="1">
      <alignment wrapText="1"/>
    </xf>
    <xf numFmtId="0" fontId="2" fillId="0" borderId="0" xfId="0" applyFont="1" applyAlignment="1">
      <alignment horizontal="left" vertical="center"/>
    </xf>
    <xf numFmtId="0" fontId="7" fillId="4" borderId="23" xfId="0" applyFont="1" applyFill="1" applyBorder="1" applyAlignment="1">
      <alignment horizontal="right" wrapText="1"/>
    </xf>
    <xf numFmtId="0" fontId="3" fillId="4" borderId="24" xfId="0" applyFont="1" applyFill="1" applyBorder="1"/>
    <xf numFmtId="0" fontId="3" fillId="4" borderId="24" xfId="0" applyFont="1" applyFill="1" applyBorder="1" applyAlignment="1">
      <alignment horizontal="center"/>
    </xf>
    <xf numFmtId="164" fontId="7" fillId="4" borderId="25" xfId="0" applyNumberFormat="1" applyFont="1" applyFill="1" applyBorder="1" applyAlignment="1">
      <alignment horizontal="right"/>
    </xf>
    <xf numFmtId="0" fontId="6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left" vertical="center"/>
    </xf>
    <xf numFmtId="0" fontId="5" fillId="5" borderId="22" xfId="0" applyFont="1" applyFill="1" applyBorder="1" applyAlignment="1">
      <alignment horizontal="left" vertical="center"/>
    </xf>
    <xf numFmtId="0" fontId="7" fillId="4" borderId="23" xfId="0" applyFont="1" applyFill="1" applyBorder="1" applyAlignment="1">
      <alignment horizontal="right"/>
    </xf>
    <xf numFmtId="0" fontId="4" fillId="4" borderId="24" xfId="0" applyFont="1" applyFill="1" applyBorder="1"/>
    <xf numFmtId="4" fontId="4" fillId="4" borderId="24" xfId="0" applyNumberFormat="1" applyFont="1" applyFill="1" applyBorder="1" applyAlignment="1">
      <alignment horizontal="right"/>
    </xf>
    <xf numFmtId="164" fontId="4" fillId="4" borderId="24" xfId="0" applyNumberFormat="1" applyFont="1" applyFill="1" applyBorder="1" applyAlignment="1">
      <alignment horizontal="right"/>
    </xf>
    <xf numFmtId="0" fontId="7" fillId="5" borderId="21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4" fillId="2" borderId="33" xfId="0" applyFont="1" applyFill="1" applyBorder="1" applyAlignment="1">
      <alignment wrapText="1"/>
    </xf>
    <xf numFmtId="0" fontId="7" fillId="2" borderId="14" xfId="0" applyFont="1" applyFill="1" applyBorder="1" applyAlignment="1">
      <alignment wrapText="1"/>
    </xf>
    <xf numFmtId="0" fontId="4" fillId="4" borderId="24" xfId="0" applyFont="1" applyFill="1" applyBorder="1" applyAlignment="1">
      <alignment wrapText="1"/>
    </xf>
    <xf numFmtId="2" fontId="4" fillId="4" borderId="24" xfId="0" applyNumberFormat="1" applyFont="1" applyFill="1" applyBorder="1" applyAlignment="1">
      <alignment wrapText="1"/>
    </xf>
    <xf numFmtId="164" fontId="4" fillId="4" borderId="24" xfId="0" applyNumberFormat="1" applyFont="1" applyFill="1" applyBorder="1" applyAlignment="1">
      <alignment wrapText="1"/>
    </xf>
    <xf numFmtId="164" fontId="7" fillId="4" borderId="25" xfId="0" applyNumberFormat="1" applyFont="1" applyFill="1" applyBorder="1" applyAlignment="1">
      <alignment horizontal="right" wrapText="1"/>
    </xf>
    <xf numFmtId="2" fontId="4" fillId="0" borderId="21" xfId="0" applyNumberFormat="1" applyFont="1" applyBorder="1" applyAlignment="1">
      <alignment wrapText="1"/>
    </xf>
    <xf numFmtId="164" fontId="4" fillId="0" borderId="21" xfId="0" applyNumberFormat="1" applyFont="1" applyBorder="1" applyAlignment="1">
      <alignment wrapText="1"/>
    </xf>
    <xf numFmtId="0" fontId="7" fillId="4" borderId="24" xfId="0" applyFont="1" applyFill="1" applyBorder="1" applyAlignment="1">
      <alignment wrapText="1"/>
    </xf>
    <xf numFmtId="2" fontId="7" fillId="4" borderId="24" xfId="0" applyNumberFormat="1" applyFont="1" applyFill="1" applyBorder="1" applyAlignment="1">
      <alignment wrapText="1"/>
    </xf>
    <xf numFmtId="164" fontId="7" fillId="4" borderId="24" xfId="0" applyNumberFormat="1" applyFont="1" applyFill="1" applyBorder="1" applyAlignment="1">
      <alignment wrapText="1"/>
    </xf>
    <xf numFmtId="0" fontId="5" fillId="5" borderId="30" xfId="0" applyFont="1" applyFill="1" applyBorder="1" applyAlignment="1">
      <alignment horizontal="left" vertical="center" wrapText="1"/>
    </xf>
    <xf numFmtId="0" fontId="5" fillId="5" borderId="31" xfId="0" applyFont="1" applyFill="1" applyBorder="1" applyAlignment="1">
      <alignment horizontal="left" vertical="center" wrapText="1"/>
    </xf>
    <xf numFmtId="0" fontId="5" fillId="5" borderId="32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5" fillId="5" borderId="30" xfId="0" applyFont="1" applyFill="1" applyBorder="1" applyAlignment="1">
      <alignment horizontal="left" vertical="center"/>
    </xf>
    <xf numFmtId="0" fontId="5" fillId="5" borderId="31" xfId="0" applyFont="1" applyFill="1" applyBorder="1" applyAlignment="1">
      <alignment horizontal="left" vertical="center"/>
    </xf>
    <xf numFmtId="0" fontId="5" fillId="5" borderId="32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topLeftCell="A85" zoomScaleNormal="100" workbookViewId="0">
      <selection activeCell="J16" sqref="J16"/>
    </sheetView>
  </sheetViews>
  <sheetFormatPr defaultRowHeight="14.25"/>
  <cols>
    <col min="1" max="1" width="61.875" customWidth="1"/>
    <col min="2" max="2" width="8" customWidth="1"/>
    <col min="3" max="3" width="18.375" customWidth="1"/>
    <col min="4" max="4" width="15.25" customWidth="1"/>
    <col min="5" max="5" width="24.875" customWidth="1"/>
    <col min="10" max="10" width="66.25" customWidth="1"/>
  </cols>
  <sheetData>
    <row r="1" spans="1:10">
      <c r="A1" s="141" t="s">
        <v>36</v>
      </c>
      <c r="B1" s="141"/>
      <c r="C1" s="141"/>
      <c r="D1" s="141"/>
      <c r="E1" s="141"/>
    </row>
    <row r="2" spans="1:10">
      <c r="A2" s="3"/>
      <c r="B2" s="3"/>
      <c r="C2" s="3"/>
      <c r="D2" s="3"/>
      <c r="E2" s="3"/>
    </row>
    <row r="3" spans="1:10">
      <c r="A3" s="109" t="s">
        <v>9</v>
      </c>
      <c r="B3" s="2"/>
      <c r="C3" s="4"/>
      <c r="D3" s="142" t="s">
        <v>10</v>
      </c>
      <c r="E3" s="142"/>
    </row>
    <row r="4" spans="1:10">
      <c r="A4" s="142" t="s">
        <v>12</v>
      </c>
      <c r="B4" s="142"/>
      <c r="C4" s="4"/>
      <c r="D4" s="142" t="s">
        <v>13</v>
      </c>
      <c r="E4" s="142"/>
    </row>
    <row r="5" spans="1:10">
      <c r="A5" s="142" t="s">
        <v>60</v>
      </c>
      <c r="B5" s="142"/>
      <c r="C5" s="4"/>
      <c r="D5" s="142" t="s">
        <v>20</v>
      </c>
      <c r="E5" s="142"/>
    </row>
    <row r="6" spans="1:10">
      <c r="A6" s="142" t="s">
        <v>61</v>
      </c>
      <c r="B6" s="142"/>
      <c r="C6" s="4"/>
      <c r="D6" s="167" t="s">
        <v>21</v>
      </c>
      <c r="E6" s="167"/>
    </row>
    <row r="7" spans="1:10">
      <c r="A7" s="142" t="s">
        <v>62</v>
      </c>
      <c r="B7" s="142"/>
      <c r="C7" s="4"/>
      <c r="D7" s="142" t="s">
        <v>22</v>
      </c>
      <c r="E7" s="142"/>
    </row>
    <row r="8" spans="1:10">
      <c r="A8" s="4"/>
      <c r="B8" s="4"/>
      <c r="C8" s="4"/>
      <c r="D8" s="4"/>
      <c r="E8" s="4"/>
    </row>
    <row r="9" spans="1:10">
      <c r="A9" s="4"/>
      <c r="B9" s="4"/>
      <c r="C9" s="4"/>
      <c r="D9" s="4"/>
      <c r="E9" s="4"/>
    </row>
    <row r="10" spans="1:10">
      <c r="A10" s="168" t="s">
        <v>11</v>
      </c>
      <c r="B10" s="168"/>
      <c r="C10" s="168"/>
      <c r="D10" s="168"/>
      <c r="E10" s="168"/>
    </row>
    <row r="11" spans="1:10">
      <c r="A11" s="168" t="s">
        <v>37</v>
      </c>
      <c r="B11" s="168"/>
      <c r="C11" s="168"/>
      <c r="D11" s="168"/>
      <c r="E11" s="168"/>
    </row>
    <row r="12" spans="1:10">
      <c r="A12" s="4"/>
      <c r="B12" s="4"/>
      <c r="C12" s="4"/>
      <c r="D12" s="4"/>
      <c r="E12" s="4"/>
    </row>
    <row r="13" spans="1:10" ht="15" thickBot="1">
      <c r="A13" s="4"/>
      <c r="B13" s="4"/>
      <c r="C13" s="4"/>
      <c r="D13" s="4"/>
      <c r="E13" s="4"/>
    </row>
    <row r="14" spans="1:10" ht="42.75" customHeight="1" thickBot="1">
      <c r="A14" s="152" t="s">
        <v>63</v>
      </c>
      <c r="B14" s="153"/>
      <c r="C14" s="153"/>
      <c r="D14" s="153"/>
      <c r="E14" s="154"/>
    </row>
    <row r="15" spans="1:10">
      <c r="A15" s="146" t="s">
        <v>64</v>
      </c>
      <c r="B15" s="147"/>
      <c r="C15" s="147"/>
      <c r="D15" s="147"/>
      <c r="E15" s="148"/>
    </row>
    <row r="16" spans="1:10" ht="260.25" customHeight="1" thickBot="1">
      <c r="A16" s="149"/>
      <c r="B16" s="150"/>
      <c r="C16" s="150"/>
      <c r="D16" s="150"/>
      <c r="E16" s="151"/>
      <c r="J16" s="86"/>
    </row>
    <row r="17" spans="1:10" ht="44.25" customHeight="1" thickBot="1">
      <c r="A17" s="5" t="s">
        <v>23</v>
      </c>
      <c r="B17" s="6" t="s">
        <v>0</v>
      </c>
      <c r="C17" s="6" t="s">
        <v>1</v>
      </c>
      <c r="D17" s="91" t="s">
        <v>44</v>
      </c>
      <c r="E17" s="92" t="s">
        <v>45</v>
      </c>
      <c r="J17" s="86"/>
    </row>
    <row r="18" spans="1:10" ht="24" customHeight="1" thickBot="1">
      <c r="A18" s="143" t="s">
        <v>24</v>
      </c>
      <c r="B18" s="144"/>
      <c r="C18" s="144"/>
      <c r="D18" s="144"/>
      <c r="E18" s="145"/>
      <c r="J18" s="86"/>
    </row>
    <row r="19" spans="1:10" ht="20.25">
      <c r="A19" s="73" t="s">
        <v>2</v>
      </c>
      <c r="B19" s="74"/>
      <c r="C19" s="74"/>
      <c r="D19" s="74"/>
      <c r="E19" s="75"/>
      <c r="J19" s="86"/>
    </row>
    <row r="20" spans="1:10" ht="15">
      <c r="A20" s="22" t="s">
        <v>39</v>
      </c>
      <c r="B20" s="7" t="s">
        <v>3</v>
      </c>
      <c r="C20" s="8">
        <v>16710</v>
      </c>
      <c r="D20" s="84">
        <v>250</v>
      </c>
      <c r="E20" s="23">
        <f>C20*D20</f>
        <v>4177500</v>
      </c>
    </row>
    <row r="21" spans="1:10" ht="15.75" thickBot="1">
      <c r="A21" s="110" t="s">
        <v>4</v>
      </c>
      <c r="B21" s="111"/>
      <c r="C21" s="112"/>
      <c r="D21" s="112"/>
      <c r="E21" s="113">
        <f>E20</f>
        <v>4177500</v>
      </c>
    </row>
    <row r="22" spans="1:10" ht="27.95" customHeight="1" thickBot="1">
      <c r="A22" s="155" t="s">
        <v>25</v>
      </c>
      <c r="B22" s="156"/>
      <c r="C22" s="156"/>
      <c r="D22" s="156"/>
      <c r="E22" s="157"/>
    </row>
    <row r="23" spans="1:10" ht="14.45" customHeight="1">
      <c r="A23" s="114" t="s">
        <v>2</v>
      </c>
      <c r="B23" s="115"/>
      <c r="C23" s="115"/>
      <c r="D23" s="115"/>
      <c r="E23" s="116"/>
    </row>
    <row r="24" spans="1:10" ht="34.5" customHeight="1">
      <c r="A24" s="29" t="s">
        <v>30</v>
      </c>
      <c r="B24" s="62" t="s">
        <v>6</v>
      </c>
      <c r="C24" s="64">
        <v>1378</v>
      </c>
      <c r="D24" s="63">
        <v>220</v>
      </c>
      <c r="E24" s="67">
        <f>C24*D24</f>
        <v>303160</v>
      </c>
    </row>
    <row r="25" spans="1:10" ht="15" customHeight="1" thickBot="1">
      <c r="A25" s="117" t="s">
        <v>4</v>
      </c>
      <c r="B25" s="118"/>
      <c r="C25" s="119"/>
      <c r="D25" s="120"/>
      <c r="E25" s="113">
        <f>E24</f>
        <v>303160</v>
      </c>
    </row>
    <row r="26" spans="1:10" ht="30.6" customHeight="1" thickBot="1">
      <c r="A26" s="155" t="s">
        <v>31</v>
      </c>
      <c r="B26" s="156"/>
      <c r="C26" s="156"/>
      <c r="D26" s="156"/>
      <c r="E26" s="157"/>
    </row>
    <row r="27" spans="1:10" ht="15" customHeight="1">
      <c r="A27" s="114" t="s">
        <v>2</v>
      </c>
      <c r="B27" s="121"/>
      <c r="C27" s="121"/>
      <c r="D27" s="121"/>
      <c r="E27" s="122"/>
    </row>
    <row r="28" spans="1:10" ht="30.95" customHeight="1">
      <c r="A28" s="29" t="s">
        <v>34</v>
      </c>
      <c r="B28" s="62" t="s">
        <v>3</v>
      </c>
      <c r="C28" s="64">
        <v>21.6</v>
      </c>
      <c r="D28" s="63">
        <v>800</v>
      </c>
      <c r="E28" s="67">
        <f>C28*D28</f>
        <v>17280</v>
      </c>
    </row>
    <row r="29" spans="1:10" ht="15" customHeight="1" thickBot="1">
      <c r="A29" s="117" t="s">
        <v>4</v>
      </c>
      <c r="B29" s="123"/>
      <c r="C29" s="123"/>
      <c r="D29" s="123"/>
      <c r="E29" s="113">
        <f>E28</f>
        <v>17280</v>
      </c>
    </row>
    <row r="30" spans="1:10" ht="29.1" customHeight="1" thickBot="1">
      <c r="A30" s="155" t="s">
        <v>32</v>
      </c>
      <c r="B30" s="156"/>
      <c r="C30" s="156"/>
      <c r="D30" s="156"/>
      <c r="E30" s="157"/>
    </row>
    <row r="31" spans="1:10" ht="15" customHeight="1">
      <c r="A31" s="114" t="s">
        <v>2</v>
      </c>
      <c r="B31" s="121"/>
      <c r="C31" s="121"/>
      <c r="D31" s="121"/>
      <c r="E31" s="122"/>
    </row>
    <row r="32" spans="1:10" ht="30" customHeight="1">
      <c r="A32" s="29" t="s">
        <v>32</v>
      </c>
      <c r="B32" s="62" t="s">
        <v>6</v>
      </c>
      <c r="C32" s="64">
        <v>1550.25</v>
      </c>
      <c r="D32" s="63">
        <v>180</v>
      </c>
      <c r="E32" s="67">
        <f>C32*D32</f>
        <v>279045</v>
      </c>
    </row>
    <row r="33" spans="1:5" ht="15" customHeight="1">
      <c r="A33" s="68" t="s">
        <v>4</v>
      </c>
      <c r="B33" s="70"/>
      <c r="C33" s="70"/>
      <c r="D33" s="70"/>
      <c r="E33" s="26">
        <f>E32</f>
        <v>279045</v>
      </c>
    </row>
    <row r="34" spans="1:5" ht="15" customHeight="1" thickBot="1">
      <c r="A34" s="71" t="s">
        <v>5</v>
      </c>
      <c r="B34" s="72"/>
      <c r="C34" s="72"/>
      <c r="D34" s="72"/>
      <c r="E34" s="76">
        <f>SUM(E21,E25,E29,E33)</f>
        <v>4776985</v>
      </c>
    </row>
    <row r="35" spans="1:5" ht="29.45" customHeight="1" thickBot="1">
      <c r="A35" s="143" t="s">
        <v>33</v>
      </c>
      <c r="B35" s="144"/>
      <c r="C35" s="144"/>
      <c r="D35" s="144"/>
      <c r="E35" s="145"/>
    </row>
    <row r="36" spans="1:5" ht="15" customHeight="1">
      <c r="A36" s="36" t="s">
        <v>2</v>
      </c>
      <c r="B36" s="37"/>
      <c r="C36" s="38"/>
      <c r="D36" s="39"/>
      <c r="E36" s="40"/>
    </row>
    <row r="37" spans="1:5" ht="15" customHeight="1">
      <c r="A37" s="24" t="s">
        <v>43</v>
      </c>
      <c r="B37" s="9" t="s">
        <v>3</v>
      </c>
      <c r="C37" s="65">
        <f>C20</f>
        <v>16710</v>
      </c>
      <c r="D37" s="82">
        <v>110</v>
      </c>
      <c r="E37" s="27">
        <f>C37*D37</f>
        <v>1838100</v>
      </c>
    </row>
    <row r="38" spans="1:5" ht="14.25" customHeight="1">
      <c r="A38" s="25" t="s">
        <v>4</v>
      </c>
      <c r="B38" s="10"/>
      <c r="C38" s="11"/>
      <c r="D38" s="12"/>
      <c r="E38" s="28">
        <f>E37</f>
        <v>1838100</v>
      </c>
    </row>
    <row r="39" spans="1:5" ht="15.75" thickBot="1">
      <c r="A39" s="41" t="s">
        <v>5</v>
      </c>
      <c r="B39" s="42"/>
      <c r="C39" s="43"/>
      <c r="D39" s="44"/>
      <c r="E39" s="45">
        <f>E38</f>
        <v>1838100</v>
      </c>
    </row>
    <row r="40" spans="1:5" ht="16.5" thickBot="1">
      <c r="A40" s="138" t="s">
        <v>46</v>
      </c>
      <c r="B40" s="139"/>
      <c r="C40" s="139"/>
      <c r="D40" s="139"/>
      <c r="E40" s="140"/>
    </row>
    <row r="41" spans="1:5" ht="15">
      <c r="A41" s="46" t="s">
        <v>2</v>
      </c>
      <c r="B41" s="47"/>
      <c r="C41" s="48"/>
      <c r="D41" s="49"/>
      <c r="E41" s="50"/>
    </row>
    <row r="42" spans="1:5" ht="30">
      <c r="A42" s="29" t="s">
        <v>46</v>
      </c>
      <c r="B42" s="13" t="s">
        <v>3</v>
      </c>
      <c r="C42" s="65">
        <v>3383</v>
      </c>
      <c r="D42" s="83">
        <v>350</v>
      </c>
      <c r="E42" s="85">
        <f>C42*D42</f>
        <v>1184050</v>
      </c>
    </row>
    <row r="43" spans="1:5" ht="15">
      <c r="A43" s="25" t="s">
        <v>4</v>
      </c>
      <c r="B43" s="10"/>
      <c r="C43" s="14"/>
      <c r="D43" s="12"/>
      <c r="E43" s="28">
        <f>E42</f>
        <v>1184050</v>
      </c>
    </row>
    <row r="44" spans="1:5" ht="15.75" thickBot="1">
      <c r="A44" s="41" t="s">
        <v>5</v>
      </c>
      <c r="B44" s="42"/>
      <c r="C44" s="43"/>
      <c r="D44" s="44"/>
      <c r="E44" s="45">
        <f>E43</f>
        <v>1184050</v>
      </c>
    </row>
    <row r="45" spans="1:5" ht="34.5" customHeight="1" thickBot="1">
      <c r="A45" s="143" t="s">
        <v>47</v>
      </c>
      <c r="B45" s="144"/>
      <c r="C45" s="144"/>
      <c r="D45" s="144"/>
      <c r="E45" s="145"/>
    </row>
    <row r="46" spans="1:5" ht="15">
      <c r="A46" s="36" t="s">
        <v>2</v>
      </c>
      <c r="B46" s="37"/>
      <c r="C46" s="51"/>
      <c r="D46" s="39"/>
      <c r="E46" s="40"/>
    </row>
    <row r="47" spans="1:5" ht="45">
      <c r="A47" s="24" t="s">
        <v>47</v>
      </c>
      <c r="B47" s="9" t="s">
        <v>3</v>
      </c>
      <c r="C47" s="65">
        <f>C37</f>
        <v>16710</v>
      </c>
      <c r="D47" s="82">
        <v>280</v>
      </c>
      <c r="E47" s="27">
        <f>C47*D47</f>
        <v>4678800</v>
      </c>
    </row>
    <row r="48" spans="1:5" ht="15">
      <c r="A48" s="24" t="s">
        <v>16</v>
      </c>
      <c r="B48" s="9" t="s">
        <v>3</v>
      </c>
      <c r="C48" s="65">
        <f>C37</f>
        <v>16710</v>
      </c>
      <c r="D48" s="82">
        <v>50</v>
      </c>
      <c r="E48" s="27">
        <f>C48*D48</f>
        <v>835500</v>
      </c>
    </row>
    <row r="49" spans="1:8" ht="15.75" thickBot="1">
      <c r="A49" s="110" t="s">
        <v>4</v>
      </c>
      <c r="B49" s="10"/>
      <c r="C49" s="11"/>
      <c r="D49" s="12"/>
      <c r="E49" s="28">
        <f>SUM(E47:E48)</f>
        <v>5514300</v>
      </c>
    </row>
    <row r="50" spans="1:8" ht="15.75" thickBot="1">
      <c r="A50" s="125" t="s">
        <v>5</v>
      </c>
      <c r="B50" s="124"/>
      <c r="C50" s="42"/>
      <c r="D50" s="42"/>
      <c r="E50" s="45">
        <f>E49</f>
        <v>5514300</v>
      </c>
    </row>
    <row r="51" spans="1:8" ht="16.5" thickBot="1">
      <c r="A51" s="143" t="s">
        <v>59</v>
      </c>
      <c r="B51" s="144"/>
      <c r="C51" s="144"/>
      <c r="D51" s="144"/>
      <c r="E51" s="145"/>
    </row>
    <row r="52" spans="1:8" ht="15">
      <c r="A52" s="36" t="s">
        <v>2</v>
      </c>
      <c r="B52" s="37"/>
      <c r="C52" s="37"/>
      <c r="D52" s="37"/>
      <c r="E52" s="52"/>
    </row>
    <row r="53" spans="1:8" ht="45">
      <c r="A53" s="87" t="s">
        <v>38</v>
      </c>
      <c r="B53" s="37" t="s">
        <v>3</v>
      </c>
      <c r="C53" s="88">
        <f>C55-C54</f>
        <v>10386</v>
      </c>
      <c r="D53" s="90">
        <v>320</v>
      </c>
      <c r="E53" s="89">
        <f>C53*D53</f>
        <v>3323520</v>
      </c>
    </row>
    <row r="54" spans="1:8" ht="60">
      <c r="A54" s="24" t="s">
        <v>56</v>
      </c>
      <c r="B54" s="9" t="s">
        <v>3</v>
      </c>
      <c r="C54" s="66">
        <v>6324</v>
      </c>
      <c r="D54" s="82">
        <v>420</v>
      </c>
      <c r="E54" s="30">
        <f>C54*D54</f>
        <v>2656080</v>
      </c>
    </row>
    <row r="55" spans="1:8" ht="30">
      <c r="A55" s="24" t="s">
        <v>35</v>
      </c>
      <c r="B55" s="9" t="s">
        <v>3</v>
      </c>
      <c r="C55" s="66">
        <f>C37</f>
        <v>16710</v>
      </c>
      <c r="D55" s="82">
        <v>50</v>
      </c>
      <c r="E55" s="30">
        <f>C55*D55</f>
        <v>835500</v>
      </c>
    </row>
    <row r="56" spans="1:8" ht="15">
      <c r="A56" s="25" t="s">
        <v>4</v>
      </c>
      <c r="B56" s="10"/>
      <c r="C56" s="16"/>
      <c r="D56" s="12"/>
      <c r="E56" s="28">
        <f>SUM(E53:E55)</f>
        <v>6815100</v>
      </c>
    </row>
    <row r="57" spans="1:8" ht="15.75" thickBot="1">
      <c r="A57" s="41" t="s">
        <v>5</v>
      </c>
      <c r="B57" s="53"/>
      <c r="C57" s="53"/>
      <c r="D57" s="53"/>
      <c r="E57" s="45">
        <f>E56</f>
        <v>6815100</v>
      </c>
    </row>
    <row r="58" spans="1:8" ht="32.25" customHeight="1" thickBot="1">
      <c r="A58" s="143" t="s">
        <v>42</v>
      </c>
      <c r="B58" s="144"/>
      <c r="C58" s="144"/>
      <c r="D58" s="144"/>
      <c r="E58" s="145"/>
    </row>
    <row r="59" spans="1:8" ht="15">
      <c r="A59" s="77" t="s">
        <v>2</v>
      </c>
      <c r="B59" s="78"/>
      <c r="C59" s="78"/>
      <c r="D59" s="78"/>
      <c r="E59" s="79"/>
    </row>
    <row r="60" spans="1:8" ht="45">
      <c r="A60" s="24" t="s">
        <v>48</v>
      </c>
      <c r="B60" s="9" t="s">
        <v>6</v>
      </c>
      <c r="C60" s="66">
        <v>527</v>
      </c>
      <c r="D60" s="15">
        <v>1200</v>
      </c>
      <c r="E60" s="30">
        <f>C60*D60</f>
        <v>632400</v>
      </c>
    </row>
    <row r="61" spans="1:8" ht="19.5" customHeight="1" thickBot="1">
      <c r="A61" s="110" t="s">
        <v>4</v>
      </c>
      <c r="B61" s="126"/>
      <c r="C61" s="127"/>
      <c r="D61" s="128"/>
      <c r="E61" s="129">
        <f>E60</f>
        <v>632400</v>
      </c>
    </row>
    <row r="62" spans="1:8" ht="16.5" thickBot="1">
      <c r="A62" s="169" t="s">
        <v>29</v>
      </c>
      <c r="B62" s="170"/>
      <c r="C62" s="170"/>
      <c r="D62" s="170"/>
      <c r="E62" s="171"/>
    </row>
    <row r="63" spans="1:8" ht="15">
      <c r="A63" s="36" t="s">
        <v>2</v>
      </c>
      <c r="B63" s="37"/>
      <c r="C63" s="130"/>
      <c r="D63" s="131"/>
      <c r="E63" s="89"/>
      <c r="F63" s="1"/>
      <c r="G63" s="1"/>
      <c r="H63" s="1"/>
    </row>
    <row r="64" spans="1:8" ht="15">
      <c r="A64" s="24" t="s">
        <v>14</v>
      </c>
      <c r="B64" s="9" t="s">
        <v>6</v>
      </c>
      <c r="C64" s="66">
        <v>1054</v>
      </c>
      <c r="D64" s="15">
        <v>100</v>
      </c>
      <c r="E64" s="30">
        <f>C64*D64</f>
        <v>105400</v>
      </c>
      <c r="F64" s="1"/>
      <c r="G64" s="1"/>
      <c r="H64" s="1"/>
    </row>
    <row r="65" spans="1:8" ht="15">
      <c r="A65" s="25" t="s">
        <v>4</v>
      </c>
      <c r="B65" s="10"/>
      <c r="C65" s="16"/>
      <c r="D65" s="18"/>
      <c r="E65" s="28">
        <f>E64</f>
        <v>105400</v>
      </c>
      <c r="F65" s="1"/>
      <c r="G65" s="1"/>
      <c r="H65" s="1"/>
    </row>
    <row r="66" spans="1:8" ht="15.75" thickBot="1">
      <c r="A66" s="80" t="s">
        <v>5</v>
      </c>
      <c r="B66" s="33"/>
      <c r="C66" s="34"/>
      <c r="D66" s="35"/>
      <c r="E66" s="81">
        <f>E61+E65</f>
        <v>737800</v>
      </c>
      <c r="F66" s="1"/>
      <c r="G66" s="1"/>
      <c r="H66" s="1"/>
    </row>
    <row r="67" spans="1:8" ht="16.5" thickBot="1">
      <c r="A67" s="138" t="s">
        <v>57</v>
      </c>
      <c r="B67" s="139"/>
      <c r="C67" s="139"/>
      <c r="D67" s="139"/>
      <c r="E67" s="140"/>
      <c r="F67" s="1"/>
      <c r="G67" s="1"/>
      <c r="H67" s="1"/>
    </row>
    <row r="68" spans="1:8" ht="15">
      <c r="A68" s="46" t="s">
        <v>2</v>
      </c>
      <c r="B68" s="56"/>
      <c r="C68" s="57"/>
      <c r="D68" s="58"/>
      <c r="E68" s="59"/>
      <c r="F68" s="1"/>
      <c r="G68" s="1"/>
      <c r="H68" s="1"/>
    </row>
    <row r="69" spans="1:8" ht="15">
      <c r="A69" s="29" t="s">
        <v>40</v>
      </c>
      <c r="B69" s="13" t="s">
        <v>7</v>
      </c>
      <c r="C69" s="66">
        <v>93</v>
      </c>
      <c r="D69" s="19">
        <v>4000</v>
      </c>
      <c r="E69" s="31">
        <f>C69*D69</f>
        <v>372000</v>
      </c>
      <c r="F69" s="1"/>
      <c r="G69" s="1"/>
      <c r="H69" s="1"/>
    </row>
    <row r="70" spans="1:8" ht="15">
      <c r="A70" s="25" t="s">
        <v>4</v>
      </c>
      <c r="B70" s="20"/>
      <c r="C70" s="21"/>
      <c r="D70" s="17"/>
      <c r="E70" s="28">
        <f>E69</f>
        <v>372000</v>
      </c>
      <c r="F70" s="1"/>
      <c r="G70" s="1"/>
      <c r="H70" s="1"/>
    </row>
    <row r="71" spans="1:8" ht="15.75" thickBot="1">
      <c r="A71" s="60" t="s">
        <v>5</v>
      </c>
      <c r="B71" s="53"/>
      <c r="C71" s="54"/>
      <c r="D71" s="55"/>
      <c r="E71" s="45">
        <f>E70</f>
        <v>372000</v>
      </c>
      <c r="F71" s="1"/>
      <c r="G71" s="1"/>
    </row>
    <row r="72" spans="1:8" ht="16.5" thickBot="1">
      <c r="A72" s="143" t="s">
        <v>49</v>
      </c>
      <c r="B72" s="144"/>
      <c r="C72" s="144"/>
      <c r="D72" s="144"/>
      <c r="E72" s="145"/>
      <c r="F72" s="1"/>
      <c r="G72" s="1"/>
    </row>
    <row r="73" spans="1:8" ht="15">
      <c r="A73" s="36" t="s">
        <v>2</v>
      </c>
      <c r="B73" s="37"/>
      <c r="C73" s="37"/>
      <c r="D73" s="37"/>
      <c r="E73" s="52"/>
      <c r="F73" s="1"/>
      <c r="G73" s="1"/>
    </row>
    <row r="74" spans="1:8" ht="15">
      <c r="A74" s="24" t="s">
        <v>49</v>
      </c>
      <c r="B74" s="9" t="s">
        <v>7</v>
      </c>
      <c r="C74" s="66">
        <v>167</v>
      </c>
      <c r="D74" s="15">
        <v>3000</v>
      </c>
      <c r="E74" s="30">
        <f>C74*D74</f>
        <v>501000</v>
      </c>
      <c r="F74" s="1"/>
      <c r="G74" s="1"/>
    </row>
    <row r="75" spans="1:8" ht="15">
      <c r="A75" s="25" t="s">
        <v>4</v>
      </c>
      <c r="B75" s="20"/>
      <c r="C75" s="21"/>
      <c r="D75" s="17"/>
      <c r="E75" s="28">
        <f>E74</f>
        <v>501000</v>
      </c>
      <c r="F75" s="1"/>
      <c r="G75" s="1"/>
    </row>
    <row r="76" spans="1:8" ht="15.75" thickBot="1">
      <c r="A76" s="60" t="s">
        <v>5</v>
      </c>
      <c r="B76" s="53"/>
      <c r="C76" s="54"/>
      <c r="D76" s="55"/>
      <c r="E76" s="45">
        <f>E75</f>
        <v>501000</v>
      </c>
      <c r="F76" s="1"/>
      <c r="G76" s="1"/>
    </row>
    <row r="77" spans="1:8" ht="16.5" thickBot="1">
      <c r="A77" s="138" t="s">
        <v>50</v>
      </c>
      <c r="B77" s="139"/>
      <c r="C77" s="139"/>
      <c r="D77" s="139"/>
      <c r="E77" s="140"/>
      <c r="F77" s="1"/>
      <c r="G77" s="1"/>
    </row>
    <row r="78" spans="1:8" ht="15">
      <c r="A78" s="77" t="s">
        <v>2</v>
      </c>
      <c r="B78" s="78"/>
      <c r="C78" s="78"/>
      <c r="D78" s="78"/>
      <c r="E78" s="79"/>
      <c r="F78" s="1"/>
      <c r="G78" s="1"/>
    </row>
    <row r="79" spans="1:8" ht="15">
      <c r="A79" s="24" t="s">
        <v>50</v>
      </c>
      <c r="B79" s="9" t="s">
        <v>7</v>
      </c>
      <c r="C79" s="66">
        <v>4</v>
      </c>
      <c r="D79" s="15">
        <v>8000</v>
      </c>
      <c r="E79" s="30">
        <f>C79*D79</f>
        <v>32000</v>
      </c>
      <c r="F79" s="1"/>
      <c r="G79" s="1"/>
    </row>
    <row r="80" spans="1:8" ht="15">
      <c r="A80" s="25" t="s">
        <v>4</v>
      </c>
      <c r="B80" s="20"/>
      <c r="C80" s="21"/>
      <c r="D80" s="17"/>
      <c r="E80" s="28">
        <f>E79</f>
        <v>32000</v>
      </c>
      <c r="F80" s="1"/>
      <c r="G80" s="1"/>
    </row>
    <row r="81" spans="1:7" ht="15.75" thickBot="1">
      <c r="A81" s="60" t="s">
        <v>5</v>
      </c>
      <c r="B81" s="53"/>
      <c r="C81" s="54"/>
      <c r="D81" s="55"/>
      <c r="E81" s="45">
        <f>E80</f>
        <v>32000</v>
      </c>
      <c r="F81" s="1"/>
      <c r="G81" s="1"/>
    </row>
    <row r="82" spans="1:7" ht="16.5" thickBot="1">
      <c r="A82" s="138" t="s">
        <v>51</v>
      </c>
      <c r="B82" s="139"/>
      <c r="C82" s="139"/>
      <c r="D82" s="139"/>
      <c r="E82" s="140"/>
      <c r="F82" s="1"/>
      <c r="G82" s="1"/>
    </row>
    <row r="83" spans="1:7" ht="15">
      <c r="A83" s="77" t="s">
        <v>2</v>
      </c>
      <c r="B83" s="78"/>
      <c r="C83" s="78"/>
      <c r="D83" s="78"/>
      <c r="E83" s="79"/>
      <c r="F83" s="1"/>
      <c r="G83" s="1"/>
    </row>
    <row r="84" spans="1:7" ht="15">
      <c r="A84" s="24" t="s">
        <v>51</v>
      </c>
      <c r="B84" s="9" t="s">
        <v>7</v>
      </c>
      <c r="C84" s="66">
        <v>10</v>
      </c>
      <c r="D84" s="15">
        <v>6000</v>
      </c>
      <c r="E84" s="30">
        <f>C84*D84</f>
        <v>60000</v>
      </c>
      <c r="F84" s="1"/>
      <c r="G84" s="1"/>
    </row>
    <row r="85" spans="1:7" ht="15">
      <c r="A85" s="110" t="s">
        <v>4</v>
      </c>
      <c r="B85" s="132"/>
      <c r="C85" s="133"/>
      <c r="D85" s="134"/>
      <c r="E85" s="129">
        <f>E84</f>
        <v>60000</v>
      </c>
      <c r="F85" s="1"/>
      <c r="G85" s="1"/>
    </row>
    <row r="86" spans="1:7" ht="15.75" thickBot="1">
      <c r="A86" s="60" t="s">
        <v>5</v>
      </c>
      <c r="B86" s="53"/>
      <c r="C86" s="54"/>
      <c r="D86" s="55"/>
      <c r="E86" s="45">
        <f>E85</f>
        <v>60000</v>
      </c>
      <c r="F86" s="1"/>
      <c r="G86" s="1"/>
    </row>
    <row r="87" spans="1:7" ht="16.5" thickBot="1">
      <c r="A87" s="135" t="s">
        <v>52</v>
      </c>
      <c r="B87" s="136"/>
      <c r="C87" s="136"/>
      <c r="D87" s="136"/>
      <c r="E87" s="137"/>
      <c r="F87" s="1"/>
      <c r="G87" s="1"/>
    </row>
    <row r="88" spans="1:7" ht="15">
      <c r="A88" s="36" t="s">
        <v>2</v>
      </c>
      <c r="B88" s="37"/>
      <c r="C88" s="37"/>
      <c r="D88" s="37"/>
      <c r="E88" s="52"/>
      <c r="F88" s="1"/>
      <c r="G88" s="1"/>
    </row>
    <row r="89" spans="1:7" ht="15">
      <c r="A89" s="24" t="s">
        <v>52</v>
      </c>
      <c r="B89" s="9" t="s">
        <v>7</v>
      </c>
      <c r="C89" s="66">
        <v>115</v>
      </c>
      <c r="D89" s="15">
        <v>500</v>
      </c>
      <c r="E89" s="30">
        <f>C89*D89</f>
        <v>57500</v>
      </c>
      <c r="F89" s="1"/>
      <c r="G89" s="1"/>
    </row>
    <row r="90" spans="1:7" ht="15">
      <c r="A90" s="25" t="s">
        <v>4</v>
      </c>
      <c r="B90" s="20"/>
      <c r="C90" s="21"/>
      <c r="D90" s="17"/>
      <c r="E90" s="28">
        <f>E89</f>
        <v>57500</v>
      </c>
      <c r="F90" s="1"/>
      <c r="G90" s="1"/>
    </row>
    <row r="91" spans="1:7" ht="15.75" thickBot="1">
      <c r="A91" s="60" t="s">
        <v>5</v>
      </c>
      <c r="B91" s="53"/>
      <c r="C91" s="54"/>
      <c r="D91" s="55"/>
      <c r="E91" s="45">
        <f>E90</f>
        <v>57500</v>
      </c>
      <c r="F91" s="1"/>
      <c r="G91" s="1"/>
    </row>
    <row r="92" spans="1:7" ht="16.5" thickBot="1">
      <c r="A92" s="135" t="s">
        <v>58</v>
      </c>
      <c r="B92" s="136"/>
      <c r="C92" s="136"/>
      <c r="D92" s="136"/>
      <c r="E92" s="137"/>
      <c r="F92" s="1"/>
      <c r="G92" s="1"/>
    </row>
    <row r="93" spans="1:7" ht="15">
      <c r="A93" s="36" t="s">
        <v>2</v>
      </c>
      <c r="B93" s="37"/>
      <c r="C93" s="37"/>
      <c r="D93" s="37"/>
      <c r="E93" s="52"/>
      <c r="F93" s="1"/>
      <c r="G93" s="1"/>
    </row>
    <row r="94" spans="1:7" ht="15">
      <c r="A94" s="24" t="s">
        <v>58</v>
      </c>
      <c r="B94" s="9" t="s">
        <v>7</v>
      </c>
      <c r="C94" s="66">
        <v>3983</v>
      </c>
      <c r="D94" s="15">
        <v>400</v>
      </c>
      <c r="E94" s="30">
        <f>C94*D94</f>
        <v>1593200</v>
      </c>
      <c r="F94" s="1"/>
      <c r="G94" s="1"/>
    </row>
    <row r="95" spans="1:7" ht="15">
      <c r="A95" s="25" t="s">
        <v>4</v>
      </c>
      <c r="B95" s="20"/>
      <c r="C95" s="21"/>
      <c r="D95" s="17"/>
      <c r="E95" s="28">
        <f>E94</f>
        <v>1593200</v>
      </c>
      <c r="F95" s="1"/>
      <c r="G95" s="1"/>
    </row>
    <row r="96" spans="1:7" ht="15.75" thickBot="1">
      <c r="A96" s="60" t="s">
        <v>5</v>
      </c>
      <c r="B96" s="53"/>
      <c r="C96" s="54"/>
      <c r="D96" s="55"/>
      <c r="E96" s="45">
        <f>E95</f>
        <v>1593200</v>
      </c>
      <c r="F96" s="1"/>
      <c r="G96" s="1"/>
    </row>
    <row r="97" spans="1:7" ht="16.5" thickBot="1">
      <c r="A97" s="135" t="s">
        <v>54</v>
      </c>
      <c r="B97" s="136"/>
      <c r="C97" s="136"/>
      <c r="D97" s="136"/>
      <c r="E97" s="137"/>
      <c r="F97" s="1"/>
      <c r="G97" s="1"/>
    </row>
    <row r="98" spans="1:7" ht="15">
      <c r="A98" s="36" t="s">
        <v>2</v>
      </c>
      <c r="B98" s="37"/>
      <c r="C98" s="37"/>
      <c r="D98" s="37"/>
      <c r="E98" s="52"/>
      <c r="F98" s="1"/>
      <c r="G98" s="1"/>
    </row>
    <row r="99" spans="1:7" ht="15">
      <c r="A99" s="24" t="s">
        <v>54</v>
      </c>
      <c r="B99" s="9" t="s">
        <v>7</v>
      </c>
      <c r="C99" s="66">
        <f>(8*4)+(7*6)</f>
        <v>74</v>
      </c>
      <c r="D99" s="15">
        <v>1800</v>
      </c>
      <c r="E99" s="30">
        <f>C99*D99</f>
        <v>133200</v>
      </c>
      <c r="F99" s="1"/>
      <c r="G99" s="1"/>
    </row>
    <row r="100" spans="1:7" ht="15">
      <c r="A100" s="25" t="s">
        <v>4</v>
      </c>
      <c r="B100" s="20"/>
      <c r="C100" s="21"/>
      <c r="D100" s="17"/>
      <c r="E100" s="28">
        <f>E99</f>
        <v>133200</v>
      </c>
      <c r="F100" s="1"/>
      <c r="G100" s="1"/>
    </row>
    <row r="101" spans="1:7" ht="15.75" thickBot="1">
      <c r="A101" s="60" t="s">
        <v>5</v>
      </c>
      <c r="B101" s="53"/>
      <c r="C101" s="54"/>
      <c r="D101" s="55"/>
      <c r="E101" s="45">
        <f>E100</f>
        <v>133200</v>
      </c>
      <c r="F101" s="1"/>
      <c r="G101" s="1"/>
    </row>
    <row r="102" spans="1:7" ht="16.5" thickBot="1">
      <c r="A102" s="135" t="s">
        <v>55</v>
      </c>
      <c r="B102" s="136"/>
      <c r="C102" s="136"/>
      <c r="D102" s="136"/>
      <c r="E102" s="137"/>
      <c r="F102" s="1"/>
      <c r="G102" s="1"/>
    </row>
    <row r="103" spans="1:7" ht="15">
      <c r="A103" s="36" t="s">
        <v>2</v>
      </c>
      <c r="B103" s="37"/>
      <c r="C103" s="37"/>
      <c r="D103" s="37"/>
      <c r="E103" s="52"/>
      <c r="F103" s="1"/>
      <c r="G103" s="1"/>
    </row>
    <row r="104" spans="1:7" ht="15">
      <c r="A104" s="24" t="s">
        <v>55</v>
      </c>
      <c r="B104" s="9" t="s">
        <v>7</v>
      </c>
      <c r="C104" s="66">
        <v>196</v>
      </c>
      <c r="D104" s="15">
        <v>1500</v>
      </c>
      <c r="E104" s="30">
        <f>C104*D104</f>
        <v>294000</v>
      </c>
      <c r="F104" s="1"/>
      <c r="G104" s="1"/>
    </row>
    <row r="105" spans="1:7" ht="15">
      <c r="A105" s="25" t="s">
        <v>4</v>
      </c>
      <c r="B105" s="20"/>
      <c r="C105" s="21"/>
      <c r="D105" s="17"/>
      <c r="E105" s="28">
        <f>E104</f>
        <v>294000</v>
      </c>
      <c r="F105" s="1"/>
      <c r="G105" s="1"/>
    </row>
    <row r="106" spans="1:7" ht="15.75" thickBot="1">
      <c r="A106" s="60" t="s">
        <v>5</v>
      </c>
      <c r="B106" s="53"/>
      <c r="C106" s="54"/>
      <c r="D106" s="55"/>
      <c r="E106" s="45">
        <f>E105</f>
        <v>294000</v>
      </c>
      <c r="F106" s="1"/>
      <c r="G106" s="1"/>
    </row>
    <row r="107" spans="1:7" ht="16.5" thickBot="1">
      <c r="A107" s="143" t="s">
        <v>17</v>
      </c>
      <c r="B107" s="144"/>
      <c r="C107" s="144"/>
      <c r="D107" s="144"/>
      <c r="E107" s="145"/>
      <c r="F107" s="1"/>
      <c r="G107" s="1"/>
    </row>
    <row r="108" spans="1:7" ht="15">
      <c r="A108" s="36" t="s">
        <v>2</v>
      </c>
      <c r="B108" s="37"/>
      <c r="C108" s="37"/>
      <c r="D108" s="37"/>
      <c r="E108" s="52"/>
      <c r="F108" s="1"/>
      <c r="G108" s="1"/>
    </row>
    <row r="109" spans="1:7" ht="15">
      <c r="A109" s="24" t="s">
        <v>26</v>
      </c>
      <c r="B109" s="9" t="s">
        <v>7</v>
      </c>
      <c r="C109" s="66">
        <v>60</v>
      </c>
      <c r="D109" s="15">
        <v>2500</v>
      </c>
      <c r="E109" s="30">
        <f>C109*D109</f>
        <v>150000</v>
      </c>
      <c r="F109" s="1"/>
      <c r="G109" s="1"/>
    </row>
    <row r="110" spans="1:7" ht="15">
      <c r="A110" s="25" t="s">
        <v>4</v>
      </c>
      <c r="B110" s="20"/>
      <c r="C110" s="21"/>
      <c r="D110" s="17"/>
      <c r="E110" s="28">
        <f>E109</f>
        <v>150000</v>
      </c>
      <c r="F110" s="1"/>
      <c r="G110" s="1"/>
    </row>
    <row r="111" spans="1:7" ht="15.75" thickBot="1">
      <c r="A111" s="32" t="s">
        <v>5</v>
      </c>
      <c r="B111" s="33"/>
      <c r="C111" s="34"/>
      <c r="D111" s="35"/>
      <c r="E111" s="81">
        <f>E110</f>
        <v>150000</v>
      </c>
    </row>
    <row r="112" spans="1:7" ht="26.25" customHeight="1" thickBot="1">
      <c r="A112" s="172" t="s">
        <v>19</v>
      </c>
      <c r="B112" s="173"/>
      <c r="C112" s="173"/>
      <c r="D112" s="174"/>
      <c r="E112" s="61">
        <f>SUM(E20,E24,E28,E32,E37,E42,E47:E48,E53:E55,E60,E64,E69,E74,E79,E84,E89,E94,E99,E104,E109)</f>
        <v>24059235</v>
      </c>
    </row>
    <row r="113" spans="1:5" ht="21.75" customHeight="1" thickBot="1">
      <c r="A113" s="158" t="s">
        <v>27</v>
      </c>
      <c r="B113" s="159"/>
      <c r="C113" s="159"/>
      <c r="D113" s="159"/>
      <c r="E113" s="160"/>
    </row>
    <row r="114" spans="1:5" ht="18">
      <c r="A114" s="97" t="s">
        <v>41</v>
      </c>
      <c r="B114" s="98" t="s">
        <v>15</v>
      </c>
      <c r="C114" s="99">
        <v>1</v>
      </c>
      <c r="D114" s="100">
        <v>100000</v>
      </c>
      <c r="E114" s="101">
        <f>C114*D114</f>
        <v>100000</v>
      </c>
    </row>
    <row r="115" spans="1:5" ht="18">
      <c r="A115" s="102" t="s">
        <v>18</v>
      </c>
      <c r="B115" s="94" t="s">
        <v>15</v>
      </c>
      <c r="C115" s="95">
        <v>48</v>
      </c>
      <c r="D115" s="96">
        <v>21600</v>
      </c>
      <c r="E115" s="103">
        <f>C115*D115</f>
        <v>1036800</v>
      </c>
    </row>
    <row r="116" spans="1:5" ht="18.75" thickBot="1">
      <c r="A116" s="104" t="s">
        <v>53</v>
      </c>
      <c r="B116" s="105" t="s">
        <v>15</v>
      </c>
      <c r="C116" s="106">
        <v>23</v>
      </c>
      <c r="D116" s="107">
        <v>16000</v>
      </c>
      <c r="E116" s="108">
        <f>C116*D116</f>
        <v>368000</v>
      </c>
    </row>
    <row r="117" spans="1:5" ht="42.6" customHeight="1" thickBot="1">
      <c r="A117" s="161" t="s">
        <v>28</v>
      </c>
      <c r="B117" s="162"/>
      <c r="C117" s="162"/>
      <c r="D117" s="163"/>
      <c r="E117" s="93">
        <f>SUM(E114:E116)</f>
        <v>1504800</v>
      </c>
    </row>
    <row r="118" spans="1:5" ht="46.5" customHeight="1" thickBot="1">
      <c r="A118" s="164" t="s">
        <v>8</v>
      </c>
      <c r="B118" s="165"/>
      <c r="C118" s="165"/>
      <c r="D118" s="166"/>
      <c r="E118" s="69">
        <f>E112+E117</f>
        <v>25564035</v>
      </c>
    </row>
    <row r="119" spans="1:5" ht="22.5" customHeight="1"/>
    <row r="120" spans="1:5" ht="22.5" customHeight="1"/>
    <row r="121" spans="1:5" ht="24.6" customHeight="1"/>
    <row r="122" spans="1:5" ht="39.950000000000003" customHeight="1"/>
    <row r="123" spans="1:5" ht="26.1" customHeight="1"/>
  </sheetData>
  <mergeCells count="37">
    <mergeCell ref="A113:E113"/>
    <mergeCell ref="A117:D117"/>
    <mergeCell ref="A118:D118"/>
    <mergeCell ref="A107:E107"/>
    <mergeCell ref="D6:E6"/>
    <mergeCell ref="D7:E7"/>
    <mergeCell ref="A10:E10"/>
    <mergeCell ref="A11:E11"/>
    <mergeCell ref="A62:E62"/>
    <mergeCell ref="A18:E18"/>
    <mergeCell ref="A40:E40"/>
    <mergeCell ref="A67:E67"/>
    <mergeCell ref="A112:D112"/>
    <mergeCell ref="A22:E22"/>
    <mergeCell ref="A72:E72"/>
    <mergeCell ref="A58:E58"/>
    <mergeCell ref="A1:E1"/>
    <mergeCell ref="D3:E3"/>
    <mergeCell ref="D4:E4"/>
    <mergeCell ref="A35:E35"/>
    <mergeCell ref="A51:E51"/>
    <mergeCell ref="A45:E45"/>
    <mergeCell ref="A15:E16"/>
    <mergeCell ref="A14:E14"/>
    <mergeCell ref="D5:E5"/>
    <mergeCell ref="A26:E26"/>
    <mergeCell ref="A30:E30"/>
    <mergeCell ref="A4:B4"/>
    <mergeCell ref="A5:B5"/>
    <mergeCell ref="A6:B6"/>
    <mergeCell ref="A7:B7"/>
    <mergeCell ref="A102:E102"/>
    <mergeCell ref="A77:E77"/>
    <mergeCell ref="A82:E82"/>
    <mergeCell ref="A87:E87"/>
    <mergeCell ref="A92:E92"/>
    <mergeCell ref="A97:E97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 KRD</dc:creator>
  <cp:lastModifiedBy>Пользователь</cp:lastModifiedBy>
  <cp:revision/>
  <cp:lastPrinted>2024-08-16T10:39:02Z</cp:lastPrinted>
  <dcterms:created xsi:type="dcterms:W3CDTF">2024-03-16T18:53:19Z</dcterms:created>
  <dcterms:modified xsi:type="dcterms:W3CDTF">2026-03-06T14:54:04Z</dcterms:modified>
</cp:coreProperties>
</file>