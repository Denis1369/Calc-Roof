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EEEA4F46-1842-46D3-91EE-6E454B9D3E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6" i="1" l="1"/>
  <c r="E86" i="1" l="1"/>
  <c r="E85" i="1"/>
  <c r="E95" i="1" l="1"/>
  <c r="E96" i="1" s="1"/>
  <c r="E92" i="1"/>
  <c r="E93" i="1" s="1"/>
  <c r="E87" i="1"/>
  <c r="E84" i="1"/>
  <c r="E81" i="1"/>
  <c r="E82" i="1" s="1"/>
  <c r="E75" i="1"/>
  <c r="E77" i="1" s="1"/>
  <c r="E72" i="1"/>
  <c r="E73" i="1" s="1"/>
  <c r="E67" i="1"/>
  <c r="E66" i="1"/>
  <c r="E65" i="1"/>
  <c r="E62" i="1"/>
  <c r="E63" i="1" s="1"/>
  <c r="E57" i="1"/>
  <c r="E58" i="1" s="1"/>
  <c r="E54" i="1"/>
  <c r="E55" i="1" s="1"/>
  <c r="E49" i="1"/>
  <c r="E50" i="1" s="1"/>
  <c r="E46" i="1"/>
  <c r="E47" i="1" s="1"/>
  <c r="E41" i="1"/>
  <c r="E40" i="1"/>
  <c r="E37" i="1"/>
  <c r="E38" i="1" s="1"/>
  <c r="E32" i="1"/>
  <c r="E31" i="1"/>
  <c r="E30" i="1"/>
  <c r="E27" i="1"/>
  <c r="E26" i="1"/>
  <c r="E28" i="1" s="1"/>
  <c r="E21" i="1"/>
  <c r="E22" i="1" s="1"/>
  <c r="E78" i="1" l="1"/>
  <c r="E98" i="1"/>
  <c r="E51" i="1"/>
  <c r="E42" i="1"/>
  <c r="E43" i="1" s="1"/>
  <c r="E33" i="1"/>
  <c r="E34" i="1" s="1"/>
  <c r="E59" i="1"/>
  <c r="E23" i="1"/>
  <c r="E97" i="1"/>
  <c r="E68" i="1"/>
  <c r="E69" i="1" s="1"/>
  <c r="E88" i="1"/>
  <c r="E89" i="1" s="1"/>
  <c r="E99" i="1" l="1"/>
  <c r="E100" i="1" s="1"/>
  <c r="E103" i="1" s="1"/>
</calcChain>
</file>

<file path=xl/sharedStrings.xml><?xml version="1.0" encoding="utf-8"?>
<sst xmlns="http://schemas.openxmlformats.org/spreadsheetml/2006/main" count="133" uniqueCount="73">
  <si>
    <t>Ед.изм.</t>
  </si>
  <si>
    <t>Кол-во</t>
  </si>
  <si>
    <t>Цена за ед</t>
  </si>
  <si>
    <t>Сумма</t>
  </si>
  <si>
    <t>Подготовительные работы</t>
  </si>
  <si>
    <t>Работы:</t>
  </si>
  <si>
    <t>м2</t>
  </si>
  <si>
    <t>Итого за работы:</t>
  </si>
  <si>
    <t>ИТОГО по Разделу:</t>
  </si>
  <si>
    <t>м/п</t>
  </si>
  <si>
    <t>Материалы:</t>
  </si>
  <si>
    <t>кг</t>
  </si>
  <si>
    <t>Итого за материалы:</t>
  </si>
  <si>
    <t>Устройство наплавляемой пароизоляции</t>
  </si>
  <si>
    <t>Нанесение праймера в 1 слой. Плоскость и парапет</t>
  </si>
  <si>
    <t>Монтаж пароизоляции в 1 слой</t>
  </si>
  <si>
    <t>Праймер ТехноНиколь 01</t>
  </si>
  <si>
    <t>Линокром нижний слой</t>
  </si>
  <si>
    <t>Газ пропан</t>
  </si>
  <si>
    <t>л</t>
  </si>
  <si>
    <t>Устройство утеплителя 100 мм</t>
  </si>
  <si>
    <t>Устройство утеплителя в 2 слоя с пропениванием швов, перехлестом, толщиной 100мм.</t>
  </si>
  <si>
    <t>мЗ</t>
  </si>
  <si>
    <t>Клей пена ТН</t>
  </si>
  <si>
    <t>шт</t>
  </si>
  <si>
    <t>Устройство полусухой стяжки с разуклонкой</t>
  </si>
  <si>
    <t>Устройство геотекстиля.</t>
  </si>
  <si>
    <t>Устройство геотекстиля с продольным нахлестом 100мм и поперечным 200мм. Плоскость и парапет</t>
  </si>
  <si>
    <t>Устройство гидроизоляционного покрытия из ПВХ мембраны по плоскости.</t>
  </si>
  <si>
    <t>Дюбель-гвоздь грибовидный 6*60мм.</t>
  </si>
  <si>
    <t>Устройство гидроизоляции парапета высотой до 400 мм из ПВХ мембраны.</t>
  </si>
  <si>
    <t>Устройство прижимной алюминиевой планки</t>
  </si>
  <si>
    <t>Прижимная кровельная планка алюминиевая 30*3000мм</t>
  </si>
  <si>
    <t>Устройство водоприемных воронок.</t>
  </si>
  <si>
    <t>Монтаж парапетных воронок</t>
  </si>
  <si>
    <t>Воронка парапетная ПВХ 100*100 мм, с отводом, листвоуловителем</t>
  </si>
  <si>
    <t>Общая сумма по разделам:</t>
  </si>
  <si>
    <t>Организационные расходы:</t>
  </si>
  <si>
    <t>Утилизация строительного мусора (складируем на территории Заказчика):</t>
  </si>
  <si>
    <t>Итого общая сумма по всем разделам:</t>
  </si>
  <si>
    <t>Согласовано</t>
  </si>
  <si>
    <t>Утверждаю</t>
  </si>
  <si>
    <t xml:space="preserve">ИНН/ КПП </t>
  </si>
  <si>
    <t>Директор______________________  (Ф.И.О)</t>
  </si>
  <si>
    <t>СМЕТА №1</t>
  </si>
  <si>
    <t>«Подрядчик»</t>
  </si>
  <si>
    <t>«Заказчик»</t>
  </si>
  <si>
    <t>ООО «______________________________»</t>
  </si>
  <si>
    <t>Наименование объекта: Индивидуальный дом</t>
  </si>
  <si>
    <t>Геотекстиль нетканый термообработанный 150 г/м2</t>
  </si>
  <si>
    <t xml:space="preserve">Кровельный саморез 4.8*50 мм + анкер 8*45 мм </t>
  </si>
  <si>
    <t>Кровельная стальная шайба ТехноНИКОЛЬ D-50мм.</t>
  </si>
  <si>
    <t>Песок, цемент М-500, фибра, пленка</t>
  </si>
  <si>
    <t>Краевая кровельная планка алюминиевая 30*3000мм</t>
  </si>
  <si>
    <t>ПУ герметик</t>
  </si>
  <si>
    <t>Монтаж прижимной и краевой кровельной планки</t>
  </si>
  <si>
    <t>Наименование работ. Кровля из ПВХ-мембраны</t>
  </si>
  <si>
    <t>ИТОГО по Разделам монтажные работы кровля из ПВХ-мембраны</t>
  </si>
  <si>
    <t>ИТОГО по Разделам материалы кровля из ПВХ-мембраны</t>
  </si>
  <si>
    <t>Устройство армированной стяжки (армирование фиброй), уклон 1% + контруклон</t>
  </si>
  <si>
    <t>Неармированная ПВХ мембрана V-SR толщиной 1,5 мм</t>
  </si>
  <si>
    <t>Подготовка поверхности (зачистка поверхности, удаление наплывов, обеспыливание )</t>
  </si>
  <si>
    <t>Экструзионный пенополистирол XPS Carbon Prof 50 мм</t>
  </si>
  <si>
    <t>Монтаж гидроизоляционного покрытия из ПВХ мембраны с продольным нахлестом 120мм и поперечным 200мм.</t>
  </si>
  <si>
    <t>Монтаж гидроизоляционного покрытия на парапеты (и вент. шахты) до 450 мм из ПВХ мембраны с окончанием под прижимную и краевую рейку.</t>
  </si>
  <si>
    <t>Армированная ПВХ мембрана Ecoplast V-RP толщиной 1,5 мм</t>
  </si>
  <si>
    <t>ООО «СК-ЮГ»</t>
  </si>
  <si>
    <t>ИНН / КПП: 2312330110/ 231201001</t>
  </si>
  <si>
    <t>Ген. Директор________________  (Панюков А.А.)</t>
  </si>
  <si>
    <t>Приложение №1 к Договору подряда №__________ от __.__.2025 г.</t>
  </si>
  <si>
    <t xml:space="preserve"> по  Договору подряда  №2025.____ от ______2025 г.</t>
  </si>
  <si>
    <t xml:space="preserve">Адрес объекта: </t>
  </si>
  <si>
    <t>Данные крыши: Суммарная площадь кровель = 603 м2 (252 м2 + 320 м2 + 31 м2),
Примыкания к парапету и вертикальным конструкциям = 108.7 пог.м. (73 м/п + 74 м/п + 40 м/п, Примыкания к вент. шахте (8 шт.) = 14 пог.м.,
Водоотведение парапетное = 7 шт.,
Водоотведение внутреннее = 2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</si>
</sst>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4" fillId="2" borderId="1" xfId="0" applyNumberFormat="1" applyFont="1" applyFill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4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wrapText="1"/>
    </xf>
    <xf numFmtId="164" fontId="4" fillId="2" borderId="1" xfId="0" applyNumberFormat="1" applyFont="1" applyFill="1" applyBorder="1" applyAlignment="1">
      <alignment wrapText="1"/>
    </xf>
    <xf numFmtId="2" fontId="7" fillId="2" borderId="1" xfId="0" applyNumberFormat="1" applyFont="1" applyFill="1" applyBorder="1" applyAlignment="1">
      <alignment wrapText="1"/>
    </xf>
    <xf numFmtId="0" fontId="3" fillId="0" borderId="13" xfId="0" applyFont="1" applyBorder="1"/>
    <xf numFmtId="0" fontId="6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164" fontId="4" fillId="0" borderId="13" xfId="0" applyNumberFormat="1" applyFont="1" applyBorder="1" applyAlignment="1">
      <alignment horizontal="right"/>
    </xf>
    <xf numFmtId="0" fontId="7" fillId="2" borderId="12" xfId="0" applyFont="1" applyFill="1" applyBorder="1"/>
    <xf numFmtId="164" fontId="7" fillId="2" borderId="13" xfId="0" applyNumberFormat="1" applyFont="1" applyFill="1" applyBorder="1" applyAlignment="1">
      <alignment horizontal="right"/>
    </xf>
    <xf numFmtId="0" fontId="6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164" fontId="4" fillId="0" borderId="13" xfId="0" applyNumberFormat="1" applyFont="1" applyBorder="1" applyAlignment="1">
      <alignment horizontal="right" wrapText="1"/>
    </xf>
    <xf numFmtId="0" fontId="7" fillId="2" borderId="12" xfId="0" applyFont="1" applyFill="1" applyBorder="1" applyAlignment="1">
      <alignment wrapText="1"/>
    </xf>
    <xf numFmtId="164" fontId="7" fillId="2" borderId="13" xfId="0" applyNumberFormat="1" applyFont="1" applyFill="1" applyBorder="1" applyAlignment="1">
      <alignment horizontal="right" wrapText="1"/>
    </xf>
    <xf numFmtId="164" fontId="4" fillId="0" borderId="13" xfId="0" applyNumberFormat="1" applyFont="1" applyBorder="1" applyAlignment="1">
      <alignment wrapText="1"/>
    </xf>
    <xf numFmtId="164" fontId="7" fillId="2" borderId="13" xfId="0" applyNumberFormat="1" applyFont="1" applyFill="1" applyBorder="1" applyAlignment="1">
      <alignment wrapText="1"/>
    </xf>
    <xf numFmtId="0" fontId="7" fillId="2" borderId="12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wrapText="1"/>
    </xf>
    <xf numFmtId="164" fontId="4" fillId="2" borderId="13" xfId="0" applyNumberFormat="1" applyFont="1" applyFill="1" applyBorder="1" applyAlignment="1">
      <alignment wrapText="1"/>
    </xf>
    <xf numFmtId="0" fontId="9" fillId="2" borderId="14" xfId="0" applyFont="1" applyFill="1" applyBorder="1" applyAlignment="1">
      <alignment wrapText="1"/>
    </xf>
    <xf numFmtId="0" fontId="9" fillId="2" borderId="15" xfId="0" applyFont="1" applyFill="1" applyBorder="1" applyAlignment="1">
      <alignment wrapText="1"/>
    </xf>
    <xf numFmtId="0" fontId="10" fillId="2" borderId="15" xfId="0" applyFont="1" applyFill="1" applyBorder="1" applyAlignment="1">
      <alignment wrapText="1"/>
    </xf>
    <xf numFmtId="164" fontId="9" fillId="2" borderId="16" xfId="0" applyNumberFormat="1" applyFont="1" applyFill="1" applyBorder="1" applyAlignment="1">
      <alignment wrapText="1"/>
    </xf>
    <xf numFmtId="0" fontId="5" fillId="0" borderId="17" xfId="0" applyFont="1" applyBorder="1" applyAlignment="1">
      <alignment vertical="center" wrapText="1"/>
    </xf>
    <xf numFmtId="0" fontId="3" fillId="0" borderId="2" xfId="0" applyFont="1" applyBorder="1"/>
    <xf numFmtId="0" fontId="3" fillId="0" borderId="18" xfId="0" applyFont="1" applyBorder="1"/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right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2" fontId="4" fillId="4" borderId="1" xfId="0" applyNumberFormat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center" wrapText="1"/>
    </xf>
    <xf numFmtId="164" fontId="7" fillId="4" borderId="13" xfId="0" applyNumberFormat="1" applyFont="1" applyFill="1" applyBorder="1" applyAlignment="1">
      <alignment horizontal="right" wrapText="1"/>
    </xf>
    <xf numFmtId="2" fontId="4" fillId="4" borderId="1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wrapText="1"/>
    </xf>
    <xf numFmtId="164" fontId="5" fillId="4" borderId="13" xfId="0" applyNumberFormat="1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2" fontId="7" fillId="4" borderId="1" xfId="0" applyNumberFormat="1" applyFont="1" applyFill="1" applyBorder="1" applyAlignment="1">
      <alignment wrapText="1"/>
    </xf>
    <xf numFmtId="164" fontId="7" fillId="4" borderId="1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horizontal="right"/>
    </xf>
    <xf numFmtId="0" fontId="7" fillId="5" borderId="12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2" fontId="4" fillId="5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 wrapText="1"/>
    </xf>
    <xf numFmtId="164" fontId="7" fillId="5" borderId="13" xfId="0" applyNumberFormat="1" applyFont="1" applyFill="1" applyBorder="1" applyAlignment="1">
      <alignment horizontal="right" wrapText="1"/>
    </xf>
    <xf numFmtId="2" fontId="4" fillId="5" borderId="1" xfId="0" applyNumberFormat="1" applyFont="1" applyFill="1" applyBorder="1" applyAlignment="1">
      <alignment wrapText="1"/>
    </xf>
    <xf numFmtId="164" fontId="7" fillId="5" borderId="13" xfId="0" applyNumberFormat="1" applyFont="1" applyFill="1" applyBorder="1" applyAlignment="1">
      <alignment wrapText="1"/>
    </xf>
    <xf numFmtId="164" fontId="4" fillId="5" borderId="1" xfId="0" applyNumberFormat="1" applyFont="1" applyFill="1" applyBorder="1" applyAlignment="1">
      <alignment wrapText="1"/>
    </xf>
    <xf numFmtId="2" fontId="3" fillId="5" borderId="1" xfId="0" applyNumberFormat="1" applyFont="1" applyFill="1" applyBorder="1"/>
    <xf numFmtId="2" fontId="4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 applyAlignment="1">
      <alignment horizontal="right" wrapText="1"/>
    </xf>
    <xf numFmtId="2" fontId="4" fillId="6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left" vertical="center"/>
    </xf>
    <xf numFmtId="0" fontId="7" fillId="5" borderId="12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7" fillId="4" borderId="12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zoomScale="145" zoomScaleNormal="145" workbookViewId="0">
      <selection activeCell="H18" sqref="H18"/>
    </sheetView>
  </sheetViews>
  <sheetFormatPr defaultRowHeight="14.25"/>
  <cols>
    <col min="1" max="1" width="61.875" customWidth="1"/>
    <col min="2" max="2" width="8" customWidth="1"/>
    <col min="3" max="3" width="12.375" customWidth="1"/>
    <col min="4" max="4" width="13.125" customWidth="1"/>
    <col min="5" max="5" width="22.75" customWidth="1"/>
  </cols>
  <sheetData>
    <row r="1" spans="1:5">
      <c r="A1" s="80" t="s">
        <v>69</v>
      </c>
      <c r="B1" s="80"/>
      <c r="C1" s="80"/>
      <c r="D1" s="80"/>
      <c r="E1" s="80"/>
    </row>
    <row r="2" spans="1:5">
      <c r="A2" s="3"/>
      <c r="B2" s="3"/>
      <c r="C2" s="3"/>
      <c r="D2" s="3"/>
      <c r="E2" s="3"/>
    </row>
    <row r="3" spans="1:5">
      <c r="A3" s="77" t="s">
        <v>40</v>
      </c>
      <c r="B3" s="2"/>
      <c r="C3" s="4"/>
      <c r="D3" s="81" t="s">
        <v>41</v>
      </c>
      <c r="E3" s="81"/>
    </row>
    <row r="4" spans="1:5">
      <c r="A4" s="81" t="s">
        <v>45</v>
      </c>
      <c r="B4" s="81"/>
      <c r="C4" s="4"/>
      <c r="D4" s="81" t="s">
        <v>46</v>
      </c>
      <c r="E4" s="81"/>
    </row>
    <row r="5" spans="1:5">
      <c r="A5" s="81" t="s">
        <v>66</v>
      </c>
      <c r="B5" s="81"/>
      <c r="C5" s="4"/>
      <c r="D5" s="81" t="s">
        <v>47</v>
      </c>
      <c r="E5" s="81"/>
    </row>
    <row r="6" spans="1:5">
      <c r="A6" s="81" t="s">
        <v>67</v>
      </c>
      <c r="B6" s="81"/>
      <c r="C6" s="4"/>
      <c r="D6" s="103" t="s">
        <v>42</v>
      </c>
      <c r="E6" s="103"/>
    </row>
    <row r="7" spans="1:5">
      <c r="A7" s="81" t="s">
        <v>68</v>
      </c>
      <c r="B7" s="81"/>
      <c r="C7" s="4"/>
      <c r="D7" s="81" t="s">
        <v>43</v>
      </c>
      <c r="E7" s="81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97" t="s">
        <v>44</v>
      </c>
      <c r="B10" s="97"/>
      <c r="C10" s="97"/>
      <c r="D10" s="97"/>
      <c r="E10" s="97"/>
    </row>
    <row r="11" spans="1:5">
      <c r="A11" s="97" t="s">
        <v>70</v>
      </c>
      <c r="B11" s="97"/>
      <c r="C11" s="97"/>
      <c r="D11" s="97"/>
      <c r="E11" s="97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15" thickBot="1">
      <c r="A14" s="94" t="s">
        <v>48</v>
      </c>
      <c r="B14" s="95"/>
      <c r="C14" s="95"/>
      <c r="D14" s="95"/>
      <c r="E14" s="96"/>
    </row>
    <row r="15" spans="1:5" ht="15" thickBot="1">
      <c r="A15" s="94" t="s">
        <v>71</v>
      </c>
      <c r="B15" s="95"/>
      <c r="C15" s="95"/>
      <c r="D15" s="95"/>
      <c r="E15" s="96"/>
    </row>
    <row r="16" spans="1:5">
      <c r="A16" s="88" t="s">
        <v>72</v>
      </c>
      <c r="B16" s="89"/>
      <c r="C16" s="89"/>
      <c r="D16" s="89"/>
      <c r="E16" s="90"/>
    </row>
    <row r="17" spans="1:5" ht="88.5" customHeight="1" thickBot="1">
      <c r="A17" s="91"/>
      <c r="B17" s="92"/>
      <c r="C17" s="92"/>
      <c r="D17" s="92"/>
      <c r="E17" s="93"/>
    </row>
    <row r="18" spans="1:5" ht="38.25" customHeight="1" thickBot="1">
      <c r="A18" s="47" t="s">
        <v>56</v>
      </c>
      <c r="B18" s="48" t="s">
        <v>0</v>
      </c>
      <c r="C18" s="48" t="s">
        <v>1</v>
      </c>
      <c r="D18" s="48" t="s">
        <v>2</v>
      </c>
      <c r="E18" s="49" t="s">
        <v>3</v>
      </c>
    </row>
    <row r="19" spans="1:5" ht="24" customHeight="1">
      <c r="A19" s="44" t="s">
        <v>4</v>
      </c>
      <c r="B19" s="45"/>
      <c r="C19" s="45"/>
      <c r="D19" s="45"/>
      <c r="E19" s="46"/>
    </row>
    <row r="20" spans="1:5">
      <c r="A20" s="25" t="s">
        <v>5</v>
      </c>
      <c r="B20" s="5"/>
      <c r="C20" s="5"/>
      <c r="D20" s="5"/>
      <c r="E20" s="24"/>
    </row>
    <row r="21" spans="1:5" ht="31.5" customHeight="1">
      <c r="A21" s="26" t="s">
        <v>61</v>
      </c>
      <c r="B21" s="7" t="s">
        <v>6</v>
      </c>
      <c r="C21" s="74">
        <v>603</v>
      </c>
      <c r="D21" s="8">
        <v>50</v>
      </c>
      <c r="E21" s="27">
        <f>C21*D21</f>
        <v>30150</v>
      </c>
    </row>
    <row r="22" spans="1:5" ht="15">
      <c r="A22" s="50" t="s">
        <v>7</v>
      </c>
      <c r="B22" s="51"/>
      <c r="C22" s="52"/>
      <c r="D22" s="52"/>
      <c r="E22" s="64">
        <f>E21</f>
        <v>30150</v>
      </c>
    </row>
    <row r="23" spans="1:5" ht="15">
      <c r="A23" s="28" t="s">
        <v>8</v>
      </c>
      <c r="B23" s="16"/>
      <c r="C23" s="16"/>
      <c r="D23" s="16"/>
      <c r="E23" s="29">
        <f>E22</f>
        <v>30150</v>
      </c>
    </row>
    <row r="24" spans="1:5" ht="15.75">
      <c r="A24" s="82" t="s">
        <v>13</v>
      </c>
      <c r="B24" s="83"/>
      <c r="C24" s="83"/>
      <c r="D24" s="83"/>
      <c r="E24" s="84"/>
    </row>
    <row r="25" spans="1:5" ht="15">
      <c r="A25" s="30" t="s">
        <v>5</v>
      </c>
      <c r="B25" s="6"/>
      <c r="C25" s="11"/>
      <c r="D25" s="9"/>
      <c r="E25" s="32"/>
    </row>
    <row r="26" spans="1:5" ht="15">
      <c r="A26" s="26" t="s">
        <v>14</v>
      </c>
      <c r="B26" s="6" t="s">
        <v>6</v>
      </c>
      <c r="C26" s="75">
        <v>572</v>
      </c>
      <c r="D26" s="9">
        <v>80</v>
      </c>
      <c r="E26" s="32">
        <f>C26*D26</f>
        <v>45760</v>
      </c>
    </row>
    <row r="27" spans="1:5" ht="15">
      <c r="A27" s="26" t="s">
        <v>15</v>
      </c>
      <c r="B27" s="6" t="s">
        <v>6</v>
      </c>
      <c r="C27" s="75">
        <v>572</v>
      </c>
      <c r="D27" s="9">
        <v>180</v>
      </c>
      <c r="E27" s="32">
        <f>C27*D27</f>
        <v>102960</v>
      </c>
    </row>
    <row r="28" spans="1:5" ht="15">
      <c r="A28" s="50" t="s">
        <v>7</v>
      </c>
      <c r="B28" s="53"/>
      <c r="C28" s="54"/>
      <c r="D28" s="55"/>
      <c r="E28" s="56">
        <f>E26+E27</f>
        <v>148720</v>
      </c>
    </row>
    <row r="29" spans="1:5" ht="15">
      <c r="A29" s="30" t="s">
        <v>10</v>
      </c>
      <c r="B29" s="6"/>
      <c r="C29" s="10"/>
      <c r="D29" s="9"/>
      <c r="E29" s="32"/>
    </row>
    <row r="30" spans="1:5" ht="15">
      <c r="A30" s="26" t="s">
        <v>16</v>
      </c>
      <c r="B30" s="6" t="s">
        <v>11</v>
      </c>
      <c r="C30" s="10"/>
      <c r="D30" s="9">
        <v>195.6</v>
      </c>
      <c r="E30" s="32">
        <f>C30*D30</f>
        <v>0</v>
      </c>
    </row>
    <row r="31" spans="1:5" ht="15">
      <c r="A31" s="26" t="s">
        <v>17</v>
      </c>
      <c r="B31" s="6" t="s">
        <v>6</v>
      </c>
      <c r="C31" s="10"/>
      <c r="D31" s="9">
        <v>184.5</v>
      </c>
      <c r="E31" s="32">
        <f>C31*D31</f>
        <v>0</v>
      </c>
    </row>
    <row r="32" spans="1:5" ht="15">
      <c r="A32" s="26" t="s">
        <v>18</v>
      </c>
      <c r="B32" s="6" t="s">
        <v>19</v>
      </c>
      <c r="C32" s="10">
        <v>270</v>
      </c>
      <c r="D32" s="9">
        <v>32</v>
      </c>
      <c r="E32" s="32">
        <f>C32*D32</f>
        <v>8640</v>
      </c>
    </row>
    <row r="33" spans="1:5" ht="15">
      <c r="A33" s="65" t="s">
        <v>12</v>
      </c>
      <c r="B33" s="66"/>
      <c r="C33" s="67"/>
      <c r="D33" s="68"/>
      <c r="E33" s="69">
        <f>SUM(E30:E32)</f>
        <v>8640</v>
      </c>
    </row>
    <row r="34" spans="1:5" ht="15">
      <c r="A34" s="33" t="s">
        <v>8</v>
      </c>
      <c r="B34" s="18"/>
      <c r="C34" s="20"/>
      <c r="D34" s="19"/>
      <c r="E34" s="34">
        <f>E28+E33</f>
        <v>157360</v>
      </c>
    </row>
    <row r="35" spans="1:5" ht="15.75">
      <c r="A35" s="82" t="s">
        <v>20</v>
      </c>
      <c r="B35" s="83"/>
      <c r="C35" s="83"/>
      <c r="D35" s="83"/>
      <c r="E35" s="84"/>
    </row>
    <row r="36" spans="1:5" ht="15">
      <c r="A36" s="30" t="s">
        <v>5</v>
      </c>
      <c r="B36" s="6"/>
      <c r="C36" s="12"/>
      <c r="D36" s="9"/>
      <c r="E36" s="32"/>
    </row>
    <row r="37" spans="1:5" ht="30">
      <c r="A37" s="26" t="s">
        <v>21</v>
      </c>
      <c r="B37" s="6" t="s">
        <v>6</v>
      </c>
      <c r="C37" s="75">
        <v>127</v>
      </c>
      <c r="D37" s="9">
        <v>230</v>
      </c>
      <c r="E37" s="32">
        <f>C37*D37</f>
        <v>29210</v>
      </c>
    </row>
    <row r="38" spans="1:5" ht="15">
      <c r="A38" s="50" t="s">
        <v>7</v>
      </c>
      <c r="B38" s="53"/>
      <c r="C38" s="54"/>
      <c r="D38" s="55"/>
      <c r="E38" s="56">
        <f>E37</f>
        <v>29210</v>
      </c>
    </row>
    <row r="39" spans="1:5" ht="15">
      <c r="A39" s="30" t="s">
        <v>10</v>
      </c>
      <c r="B39" s="6"/>
      <c r="C39" s="10"/>
      <c r="D39" s="9"/>
      <c r="E39" s="32"/>
    </row>
    <row r="40" spans="1:5" ht="15">
      <c r="A40" s="26" t="s">
        <v>62</v>
      </c>
      <c r="B40" s="6" t="s">
        <v>22</v>
      </c>
      <c r="C40" s="10">
        <v>13.09</v>
      </c>
      <c r="D40" s="9">
        <v>10000</v>
      </c>
      <c r="E40" s="32">
        <f>C40*D40</f>
        <v>130900</v>
      </c>
    </row>
    <row r="41" spans="1:5" ht="15">
      <c r="A41" s="26" t="s">
        <v>23</v>
      </c>
      <c r="B41" s="6" t="s">
        <v>24</v>
      </c>
      <c r="C41" s="10">
        <v>10</v>
      </c>
      <c r="D41" s="9">
        <v>520</v>
      </c>
      <c r="E41" s="32">
        <f>C41*D41</f>
        <v>5200</v>
      </c>
    </row>
    <row r="42" spans="1:5" ht="15">
      <c r="A42" s="65" t="s">
        <v>12</v>
      </c>
      <c r="B42" s="66"/>
      <c r="C42" s="66"/>
      <c r="D42" s="66"/>
      <c r="E42" s="69">
        <f>SUM(E40:E41)</f>
        <v>136100</v>
      </c>
    </row>
    <row r="43" spans="1:5" ht="15">
      <c r="A43" s="33" t="s">
        <v>8</v>
      </c>
      <c r="B43" s="18"/>
      <c r="C43" s="18"/>
      <c r="D43" s="18"/>
      <c r="E43" s="34">
        <f>E38+E42</f>
        <v>165310</v>
      </c>
    </row>
    <row r="44" spans="1:5" ht="15.75">
      <c r="A44" s="82" t="s">
        <v>25</v>
      </c>
      <c r="B44" s="83"/>
      <c r="C44" s="83"/>
      <c r="D44" s="83"/>
      <c r="E44" s="84"/>
    </row>
    <row r="45" spans="1:5" ht="15">
      <c r="A45" s="30" t="s">
        <v>5</v>
      </c>
      <c r="B45" s="6"/>
      <c r="C45" s="15"/>
      <c r="D45" s="9"/>
      <c r="E45" s="35"/>
    </row>
    <row r="46" spans="1:5" ht="30">
      <c r="A46" s="26" t="s">
        <v>59</v>
      </c>
      <c r="B46" s="6" t="s">
        <v>6</v>
      </c>
      <c r="C46" s="76">
        <v>127</v>
      </c>
      <c r="D46" s="9">
        <v>1200</v>
      </c>
      <c r="E46" s="35">
        <f>C46*D46</f>
        <v>152400</v>
      </c>
    </row>
    <row r="47" spans="1:5" ht="15">
      <c r="A47" s="50" t="s">
        <v>7</v>
      </c>
      <c r="B47" s="53"/>
      <c r="C47" s="57"/>
      <c r="D47" s="55"/>
      <c r="E47" s="58">
        <f>E46</f>
        <v>152400</v>
      </c>
    </row>
    <row r="48" spans="1:5" ht="15">
      <c r="A48" s="30" t="s">
        <v>10</v>
      </c>
      <c r="B48" s="6"/>
      <c r="C48" s="15"/>
      <c r="D48" s="9"/>
      <c r="E48" s="35"/>
    </row>
    <row r="49" spans="1:5" ht="15">
      <c r="A49" s="26" t="s">
        <v>52</v>
      </c>
      <c r="B49" s="6" t="s">
        <v>11</v>
      </c>
      <c r="C49" s="15">
        <v>14229.6</v>
      </c>
      <c r="D49" s="9">
        <v>7</v>
      </c>
      <c r="E49" s="35">
        <f>C49*D49</f>
        <v>99607.2</v>
      </c>
    </row>
    <row r="50" spans="1:5" ht="15">
      <c r="A50" s="65" t="s">
        <v>12</v>
      </c>
      <c r="B50" s="66"/>
      <c r="C50" s="70"/>
      <c r="D50" s="68"/>
      <c r="E50" s="71">
        <f>E49</f>
        <v>99607.2</v>
      </c>
    </row>
    <row r="51" spans="1:5" ht="15">
      <c r="A51" s="33" t="s">
        <v>8</v>
      </c>
      <c r="B51" s="18"/>
      <c r="C51" s="13"/>
      <c r="D51" s="19"/>
      <c r="E51" s="36">
        <f>E47+E50</f>
        <v>252007.2</v>
      </c>
    </row>
    <row r="52" spans="1:5" ht="15.75">
      <c r="A52" s="82" t="s">
        <v>26</v>
      </c>
      <c r="B52" s="83"/>
      <c r="C52" s="83"/>
      <c r="D52" s="83"/>
      <c r="E52" s="84"/>
    </row>
    <row r="53" spans="1:5" ht="15">
      <c r="A53" s="30" t="s">
        <v>5</v>
      </c>
      <c r="B53" s="6"/>
      <c r="C53" s="15"/>
      <c r="D53" s="9"/>
      <c r="E53" s="35"/>
    </row>
    <row r="54" spans="1:5" ht="30">
      <c r="A54" s="26" t="s">
        <v>27</v>
      </c>
      <c r="B54" s="6" t="s">
        <v>6</v>
      </c>
      <c r="C54" s="76">
        <v>127</v>
      </c>
      <c r="D54" s="9">
        <v>50</v>
      </c>
      <c r="E54" s="35">
        <f>C54*D54</f>
        <v>6350</v>
      </c>
    </row>
    <row r="55" spans="1:5" ht="15.75">
      <c r="A55" s="50" t="s">
        <v>7</v>
      </c>
      <c r="B55" s="53"/>
      <c r="C55" s="57"/>
      <c r="D55" s="55"/>
      <c r="E55" s="59">
        <f>E54</f>
        <v>6350</v>
      </c>
    </row>
    <row r="56" spans="1:5" ht="15">
      <c r="A56" s="30" t="s">
        <v>10</v>
      </c>
      <c r="B56" s="6"/>
      <c r="C56" s="15"/>
      <c r="D56" s="9"/>
      <c r="E56" s="35"/>
    </row>
    <row r="57" spans="1:5" ht="15">
      <c r="A57" s="26" t="s">
        <v>49</v>
      </c>
      <c r="B57" s="6" t="s">
        <v>6</v>
      </c>
      <c r="C57" s="15">
        <v>198.95</v>
      </c>
      <c r="D57" s="9">
        <v>100</v>
      </c>
      <c r="E57" s="35">
        <f>C57*D57</f>
        <v>19895</v>
      </c>
    </row>
    <row r="58" spans="1:5" ht="15">
      <c r="A58" s="65" t="s">
        <v>12</v>
      </c>
      <c r="B58" s="66"/>
      <c r="C58" s="66"/>
      <c r="D58" s="68"/>
      <c r="E58" s="71">
        <f>E57</f>
        <v>19895</v>
      </c>
    </row>
    <row r="59" spans="1:5" ht="15">
      <c r="A59" s="33" t="s">
        <v>8</v>
      </c>
      <c r="B59" s="18"/>
      <c r="C59" s="18"/>
      <c r="D59" s="19"/>
      <c r="E59" s="36">
        <f>E55+E58</f>
        <v>26245</v>
      </c>
    </row>
    <row r="60" spans="1:5" ht="15">
      <c r="A60" s="85" t="s">
        <v>28</v>
      </c>
      <c r="B60" s="86"/>
      <c r="C60" s="86"/>
      <c r="D60" s="86"/>
      <c r="E60" s="87"/>
    </row>
    <row r="61" spans="1:5" ht="15">
      <c r="A61" s="30" t="s">
        <v>5</v>
      </c>
      <c r="B61" s="6"/>
      <c r="C61" s="6"/>
      <c r="D61" s="6"/>
      <c r="E61" s="31"/>
    </row>
    <row r="62" spans="1:5" ht="30">
      <c r="A62" s="26" t="s">
        <v>63</v>
      </c>
      <c r="B62" s="6" t="s">
        <v>6</v>
      </c>
      <c r="C62" s="76">
        <v>127</v>
      </c>
      <c r="D62" s="9">
        <v>600</v>
      </c>
      <c r="E62" s="35">
        <f>C62*D62</f>
        <v>76200</v>
      </c>
    </row>
    <row r="63" spans="1:5" ht="15">
      <c r="A63" s="50" t="s">
        <v>7</v>
      </c>
      <c r="B63" s="53"/>
      <c r="C63" s="57"/>
      <c r="D63" s="55"/>
      <c r="E63" s="58">
        <f>E62</f>
        <v>76200</v>
      </c>
    </row>
    <row r="64" spans="1:5" ht="15">
      <c r="A64" s="30" t="s">
        <v>10</v>
      </c>
      <c r="B64" s="6"/>
      <c r="C64" s="15"/>
      <c r="D64" s="9"/>
      <c r="E64" s="35"/>
    </row>
    <row r="65" spans="1:8" ht="15">
      <c r="A65" s="26" t="s">
        <v>65</v>
      </c>
      <c r="B65" s="6" t="s">
        <v>6</v>
      </c>
      <c r="C65" s="15">
        <v>146.05000000000001</v>
      </c>
      <c r="D65" s="9">
        <v>1280</v>
      </c>
      <c r="E65" s="35">
        <f>C65*D65</f>
        <v>186944</v>
      </c>
    </row>
    <row r="66" spans="1:8" ht="15">
      <c r="A66" s="26" t="s">
        <v>51</v>
      </c>
      <c r="B66" s="6" t="s">
        <v>24</v>
      </c>
      <c r="C66" s="15">
        <v>635</v>
      </c>
      <c r="D66" s="9">
        <v>6</v>
      </c>
      <c r="E66" s="35">
        <f>C66*D66</f>
        <v>3810</v>
      </c>
    </row>
    <row r="67" spans="1:8" ht="15">
      <c r="A67" s="26" t="s">
        <v>50</v>
      </c>
      <c r="B67" s="6" t="s">
        <v>24</v>
      </c>
      <c r="C67" s="15">
        <v>635</v>
      </c>
      <c r="D67" s="9">
        <v>8</v>
      </c>
      <c r="E67" s="35">
        <f>C67*D67</f>
        <v>5080</v>
      </c>
    </row>
    <row r="68" spans="1:8" ht="15">
      <c r="A68" s="65" t="s">
        <v>12</v>
      </c>
      <c r="B68" s="66"/>
      <c r="C68" s="66"/>
      <c r="D68" s="66"/>
      <c r="E68" s="71">
        <f>SUM(E65:E67)</f>
        <v>195834</v>
      </c>
    </row>
    <row r="69" spans="1:8" ht="15">
      <c r="A69" s="33" t="s">
        <v>8</v>
      </c>
      <c r="B69" s="17"/>
      <c r="C69" s="17"/>
      <c r="D69" s="17"/>
      <c r="E69" s="36">
        <f>E63+E68</f>
        <v>272034</v>
      </c>
    </row>
    <row r="70" spans="1:8" ht="15.75">
      <c r="A70" s="82" t="s">
        <v>30</v>
      </c>
      <c r="B70" s="83"/>
      <c r="C70" s="83"/>
      <c r="D70" s="83"/>
      <c r="E70" s="84"/>
    </row>
    <row r="71" spans="1:8" ht="15">
      <c r="A71" s="30" t="s">
        <v>5</v>
      </c>
      <c r="B71" s="6"/>
      <c r="C71" s="6"/>
      <c r="D71" s="6"/>
      <c r="E71" s="31"/>
    </row>
    <row r="72" spans="1:8" ht="45">
      <c r="A72" s="26" t="s">
        <v>64</v>
      </c>
      <c r="B72" s="6" t="s">
        <v>9</v>
      </c>
      <c r="C72" s="76">
        <v>61.51</v>
      </c>
      <c r="D72" s="14">
        <v>650</v>
      </c>
      <c r="E72" s="35">
        <f>C72*D72</f>
        <v>39981.5</v>
      </c>
      <c r="F72" s="1"/>
      <c r="G72" s="1"/>
      <c r="H72" s="1"/>
    </row>
    <row r="73" spans="1:8" ht="15">
      <c r="A73" s="50" t="s">
        <v>7</v>
      </c>
      <c r="B73" s="53"/>
      <c r="C73" s="57"/>
      <c r="D73" s="60"/>
      <c r="E73" s="58">
        <f>E72</f>
        <v>39981.5</v>
      </c>
      <c r="F73" s="1"/>
      <c r="G73" s="1"/>
      <c r="H73" s="1"/>
    </row>
    <row r="74" spans="1:8" ht="15">
      <c r="A74" s="30" t="s">
        <v>10</v>
      </c>
      <c r="B74" s="6"/>
      <c r="C74" s="15"/>
      <c r="D74" s="14"/>
      <c r="E74" s="35"/>
      <c r="F74" s="1"/>
      <c r="G74" s="1"/>
      <c r="H74" s="1"/>
    </row>
    <row r="75" spans="1:8" ht="15">
      <c r="A75" s="26" t="s">
        <v>65</v>
      </c>
      <c r="B75" s="6" t="s">
        <v>6</v>
      </c>
      <c r="C75" s="15">
        <v>70.739999999999995</v>
      </c>
      <c r="D75" s="14">
        <v>1280</v>
      </c>
      <c r="E75" s="35">
        <f>C75*D75</f>
        <v>90547.199999999997</v>
      </c>
      <c r="F75" s="1"/>
      <c r="G75" s="1"/>
      <c r="H75" s="1"/>
    </row>
    <row r="76" spans="1:8" ht="15">
      <c r="A76" s="26" t="s">
        <v>60</v>
      </c>
      <c r="B76" s="6" t="s">
        <v>6</v>
      </c>
      <c r="C76" s="15">
        <v>2</v>
      </c>
      <c r="D76" s="14">
        <v>1500</v>
      </c>
      <c r="E76" s="35">
        <f>C76*D76</f>
        <v>3000</v>
      </c>
      <c r="F76" s="1"/>
      <c r="G76" s="1"/>
      <c r="H76" s="1"/>
    </row>
    <row r="77" spans="1:8" ht="15">
      <c r="A77" s="65" t="s">
        <v>12</v>
      </c>
      <c r="B77" s="66"/>
      <c r="C77" s="70"/>
      <c r="D77" s="72"/>
      <c r="E77" s="71">
        <f>SUM(E75:E76)</f>
        <v>93547.199999999997</v>
      </c>
      <c r="F77" s="1"/>
      <c r="G77" s="1"/>
      <c r="H77" s="1"/>
    </row>
    <row r="78" spans="1:8" ht="15">
      <c r="A78" s="33" t="s">
        <v>8</v>
      </c>
      <c r="B78" s="18"/>
      <c r="C78" s="13"/>
      <c r="D78" s="22"/>
      <c r="E78" s="36">
        <f>E73+E77</f>
        <v>133528.70000000001</v>
      </c>
      <c r="F78" s="1"/>
      <c r="G78" s="1"/>
      <c r="H78" s="1"/>
    </row>
    <row r="79" spans="1:8" ht="15.75">
      <c r="A79" s="98" t="s">
        <v>31</v>
      </c>
      <c r="B79" s="99"/>
      <c r="C79" s="99"/>
      <c r="D79" s="99"/>
      <c r="E79" s="100"/>
      <c r="F79" s="1"/>
      <c r="G79" s="1"/>
      <c r="H79" s="1"/>
    </row>
    <row r="80" spans="1:8" ht="15">
      <c r="A80" s="30" t="s">
        <v>5</v>
      </c>
      <c r="B80" s="6"/>
      <c r="C80" s="15"/>
      <c r="D80" s="14"/>
      <c r="E80" s="35"/>
      <c r="F80" s="1"/>
      <c r="G80" s="1"/>
      <c r="H80" s="1"/>
    </row>
    <row r="81" spans="1:8" ht="15">
      <c r="A81" s="26" t="s">
        <v>55</v>
      </c>
      <c r="B81" s="6" t="s">
        <v>9</v>
      </c>
      <c r="C81" s="76">
        <v>123</v>
      </c>
      <c r="D81" s="14">
        <v>150</v>
      </c>
      <c r="E81" s="35">
        <f>C81*D81</f>
        <v>18450</v>
      </c>
      <c r="F81" s="1"/>
      <c r="G81" s="1"/>
      <c r="H81" s="1"/>
    </row>
    <row r="82" spans="1:8" ht="15.75">
      <c r="A82" s="50" t="s">
        <v>7</v>
      </c>
      <c r="B82" s="53"/>
      <c r="C82" s="57"/>
      <c r="D82" s="60"/>
      <c r="E82" s="59">
        <f>E81</f>
        <v>18450</v>
      </c>
      <c r="F82" s="1"/>
      <c r="G82" s="1"/>
      <c r="H82" s="1"/>
    </row>
    <row r="83" spans="1:8" ht="15">
      <c r="A83" s="30" t="s">
        <v>10</v>
      </c>
      <c r="B83" s="6"/>
      <c r="C83" s="15"/>
      <c r="D83" s="14"/>
      <c r="E83" s="35"/>
      <c r="F83" s="1"/>
      <c r="G83" s="1"/>
      <c r="H83" s="1"/>
    </row>
    <row r="84" spans="1:8" ht="15">
      <c r="A84" s="26" t="s">
        <v>32</v>
      </c>
      <c r="B84" s="6" t="s">
        <v>9</v>
      </c>
      <c r="C84" s="15">
        <v>96</v>
      </c>
      <c r="D84" s="14">
        <v>140</v>
      </c>
      <c r="E84" s="35">
        <f>C84*D84</f>
        <v>13440</v>
      </c>
      <c r="F84" s="1"/>
      <c r="G84" s="1"/>
      <c r="H84" s="1"/>
    </row>
    <row r="85" spans="1:8" ht="15">
      <c r="A85" s="26" t="s">
        <v>53</v>
      </c>
      <c r="B85" s="6" t="s">
        <v>9</v>
      </c>
      <c r="C85" s="15">
        <v>26</v>
      </c>
      <c r="D85" s="14">
        <v>140</v>
      </c>
      <c r="E85" s="35">
        <f>C85*D85</f>
        <v>3640</v>
      </c>
      <c r="F85" s="1"/>
      <c r="G85" s="1"/>
      <c r="H85" s="1"/>
    </row>
    <row r="86" spans="1:8" ht="15">
      <c r="A86" s="26" t="s">
        <v>54</v>
      </c>
      <c r="B86" s="6" t="s">
        <v>24</v>
      </c>
      <c r="C86" s="15">
        <v>7</v>
      </c>
      <c r="D86" s="14">
        <v>800</v>
      </c>
      <c r="E86" s="35">
        <f>C86*D86</f>
        <v>5600</v>
      </c>
      <c r="F86" s="1"/>
      <c r="G86" s="1"/>
      <c r="H86" s="1"/>
    </row>
    <row r="87" spans="1:8" ht="15">
      <c r="A87" s="26" t="s">
        <v>29</v>
      </c>
      <c r="B87" s="6" t="s">
        <v>24</v>
      </c>
      <c r="C87" s="15">
        <v>615</v>
      </c>
      <c r="D87" s="14">
        <v>3.2</v>
      </c>
      <c r="E87" s="35">
        <f>C87*D87</f>
        <v>1968</v>
      </c>
    </row>
    <row r="88" spans="1:8" ht="15">
      <c r="A88" s="65" t="s">
        <v>12</v>
      </c>
      <c r="B88" s="66"/>
      <c r="C88" s="73"/>
      <c r="D88" s="72"/>
      <c r="E88" s="71">
        <f>SUM(E84:E87)</f>
        <v>24648</v>
      </c>
      <c r="F88" s="1"/>
      <c r="G88" s="1"/>
    </row>
    <row r="89" spans="1:8" ht="15">
      <c r="A89" s="33" t="s">
        <v>8</v>
      </c>
      <c r="B89" s="17"/>
      <c r="C89" s="23"/>
      <c r="D89" s="21"/>
      <c r="E89" s="36">
        <f>E82+E88</f>
        <v>43098</v>
      </c>
      <c r="F89" s="1"/>
      <c r="G89" s="1"/>
    </row>
    <row r="90" spans="1:8" ht="15.75">
      <c r="A90" s="82" t="s">
        <v>33</v>
      </c>
      <c r="B90" s="83"/>
      <c r="C90" s="83"/>
      <c r="D90" s="83"/>
      <c r="E90" s="84"/>
    </row>
    <row r="91" spans="1:8" ht="15">
      <c r="A91" s="30" t="s">
        <v>5</v>
      </c>
      <c r="B91" s="6"/>
      <c r="C91" s="6"/>
      <c r="D91" s="6"/>
      <c r="E91" s="31"/>
    </row>
    <row r="92" spans="1:8" ht="15">
      <c r="A92" s="26" t="s">
        <v>34</v>
      </c>
      <c r="B92" s="6" t="s">
        <v>24</v>
      </c>
      <c r="C92" s="76">
        <v>1</v>
      </c>
      <c r="D92" s="14">
        <v>3500</v>
      </c>
      <c r="E92" s="35">
        <f>C92*D92</f>
        <v>3500</v>
      </c>
    </row>
    <row r="93" spans="1:8" ht="15">
      <c r="A93" s="50" t="s">
        <v>7</v>
      </c>
      <c r="B93" s="61"/>
      <c r="C93" s="62"/>
      <c r="D93" s="63"/>
      <c r="E93" s="58">
        <f>E92</f>
        <v>3500</v>
      </c>
    </row>
    <row r="94" spans="1:8" ht="15">
      <c r="A94" s="30" t="s">
        <v>10</v>
      </c>
      <c r="B94" s="6"/>
      <c r="C94" s="15"/>
      <c r="D94" s="14"/>
      <c r="E94" s="35"/>
    </row>
    <row r="95" spans="1:8" ht="30">
      <c r="A95" s="26" t="s">
        <v>35</v>
      </c>
      <c r="B95" s="6" t="s">
        <v>24</v>
      </c>
      <c r="C95" s="15">
        <v>1</v>
      </c>
      <c r="D95" s="14">
        <v>7000</v>
      </c>
      <c r="E95" s="35">
        <f>C95*D95</f>
        <v>7000</v>
      </c>
    </row>
    <row r="96" spans="1:8" ht="15">
      <c r="A96" s="65" t="s">
        <v>12</v>
      </c>
      <c r="B96" s="66"/>
      <c r="C96" s="70"/>
      <c r="D96" s="72"/>
      <c r="E96" s="71">
        <f>E95</f>
        <v>7000</v>
      </c>
    </row>
    <row r="97" spans="1:5" ht="15">
      <c r="A97" s="37" t="s">
        <v>8</v>
      </c>
      <c r="B97" s="17"/>
      <c r="C97" s="23"/>
      <c r="D97" s="21"/>
      <c r="E97" s="36">
        <f>E93+E96</f>
        <v>10500</v>
      </c>
    </row>
    <row r="98" spans="1:5" ht="15">
      <c r="A98" s="101" t="s">
        <v>57</v>
      </c>
      <c r="B98" s="102"/>
      <c r="C98" s="102"/>
      <c r="D98" s="102"/>
      <c r="E98" s="58">
        <f>SUM(E22,E28,E38,E47,E55,E63,E73,E82,E93)</f>
        <v>504961.5</v>
      </c>
    </row>
    <row r="99" spans="1:5" ht="15">
      <c r="A99" s="78" t="s">
        <v>58</v>
      </c>
      <c r="B99" s="79"/>
      <c r="C99" s="79"/>
      <c r="D99" s="79"/>
      <c r="E99" s="71">
        <f>SUM(E33,E42,E50,E58,E68,E77,E88,E96)</f>
        <v>585271.4</v>
      </c>
    </row>
    <row r="100" spans="1:5" ht="15">
      <c r="A100" s="38" t="s">
        <v>36</v>
      </c>
      <c r="B100" s="18"/>
      <c r="C100" s="18"/>
      <c r="D100" s="18"/>
      <c r="E100" s="39">
        <f>SUM(E98,E99)</f>
        <v>1090232.8999999999</v>
      </c>
    </row>
    <row r="101" spans="1:5" ht="15">
      <c r="A101" s="38" t="s">
        <v>37</v>
      </c>
      <c r="B101" s="18"/>
      <c r="C101" s="18"/>
      <c r="D101" s="18"/>
      <c r="E101" s="39">
        <v>36000</v>
      </c>
    </row>
    <row r="102" spans="1:5" ht="30">
      <c r="A102" s="38" t="s">
        <v>38</v>
      </c>
      <c r="B102" s="18"/>
      <c r="C102" s="18"/>
      <c r="D102" s="18"/>
      <c r="E102" s="39">
        <v>5000</v>
      </c>
    </row>
    <row r="103" spans="1:5" ht="24" thickBot="1">
      <c r="A103" s="40" t="s">
        <v>39</v>
      </c>
      <c r="B103" s="41"/>
      <c r="C103" s="41"/>
      <c r="D103" s="42"/>
      <c r="E103" s="43">
        <f>SUM(E100:E102)</f>
        <v>1131232.8999999999</v>
      </c>
    </row>
  </sheetData>
  <mergeCells count="25">
    <mergeCell ref="A90:E90"/>
    <mergeCell ref="A98:D98"/>
    <mergeCell ref="A4:B4"/>
    <mergeCell ref="A5:B5"/>
    <mergeCell ref="A6:B6"/>
    <mergeCell ref="A7:B7"/>
    <mergeCell ref="D5:E5"/>
    <mergeCell ref="D6:E6"/>
    <mergeCell ref="D7:E7"/>
    <mergeCell ref="A99:D99"/>
    <mergeCell ref="A1:E1"/>
    <mergeCell ref="D3:E3"/>
    <mergeCell ref="D4:E4"/>
    <mergeCell ref="A24:E24"/>
    <mergeCell ref="A70:E70"/>
    <mergeCell ref="A60:E60"/>
    <mergeCell ref="A52:E52"/>
    <mergeCell ref="A44:E44"/>
    <mergeCell ref="A35:E35"/>
    <mergeCell ref="A16:E17"/>
    <mergeCell ref="A15:E15"/>
    <mergeCell ref="A14:E14"/>
    <mergeCell ref="A10:E10"/>
    <mergeCell ref="A11:E11"/>
    <mergeCell ref="A79:E79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2024-03-17T16:51:39Z</cp:lastPrinted>
  <dcterms:created xsi:type="dcterms:W3CDTF">2024-03-16T18:53:19Z</dcterms:created>
  <dcterms:modified xsi:type="dcterms:W3CDTF">2026-03-06T14:53:11Z</dcterms:modified>
</cp:coreProperties>
</file>