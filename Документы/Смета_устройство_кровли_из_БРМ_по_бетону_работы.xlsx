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Моя папка\Личка1\Расчеты_\Для калькулятора\"/>
    </mc:Choice>
  </mc:AlternateContent>
  <xr:revisionPtr revIDLastSave="0" documentId="13_ncr:1_{3FBE26FB-50EB-45AB-8FF2-023F9F8CDE2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2" i="1" l="1"/>
  <c r="E62" i="1" s="1"/>
  <c r="E63" i="1" s="1"/>
  <c r="C25" i="1"/>
  <c r="C28" i="1" s="1"/>
  <c r="C108" i="1"/>
  <c r="C111" i="1" s="1"/>
  <c r="E111" i="1" s="1"/>
  <c r="E107" i="1"/>
  <c r="C99" i="1"/>
  <c r="C102" i="1" s="1"/>
  <c r="E102" i="1" s="1"/>
  <c r="E98" i="1"/>
  <c r="C79" i="1"/>
  <c r="C70" i="1"/>
  <c r="E70" i="1" s="1"/>
  <c r="E67" i="1"/>
  <c r="E68" i="1" s="1"/>
  <c r="C54" i="1"/>
  <c r="C38" i="1"/>
  <c r="C24" i="1"/>
  <c r="E103" i="1" l="1"/>
  <c r="E108" i="1"/>
  <c r="E109" i="1" s="1"/>
  <c r="E112" i="1"/>
  <c r="E99" i="1"/>
  <c r="E100" i="1" s="1"/>
  <c r="E71" i="1"/>
  <c r="E72" i="1" s="1"/>
  <c r="C93" i="1"/>
  <c r="C85" i="1"/>
  <c r="C88" i="1" s="1"/>
  <c r="E88" i="1" s="1"/>
  <c r="E84" i="1"/>
  <c r="C76" i="1"/>
  <c r="E113" i="1" l="1"/>
  <c r="E104" i="1"/>
  <c r="E85" i="1"/>
  <c r="E86" i="1" s="1"/>
  <c r="E89" i="1" l="1"/>
  <c r="E90" i="1" l="1"/>
  <c r="C41" i="1"/>
  <c r="E79" i="1"/>
  <c r="E75" i="1"/>
  <c r="C49" i="1"/>
  <c r="E49" i="1" s="1"/>
  <c r="E50" i="1" s="1"/>
  <c r="E46" i="1"/>
  <c r="E47" i="1" s="1"/>
  <c r="E51" i="1" l="1"/>
  <c r="E117" i="1"/>
  <c r="E116" i="1" l="1"/>
  <c r="E118" i="1" s="1"/>
  <c r="E119" i="1" s="1"/>
  <c r="E93" i="1"/>
  <c r="E94" i="1" s="1"/>
  <c r="E95" i="1" s="1"/>
  <c r="E80" i="1"/>
  <c r="E76" i="1"/>
  <c r="E77" i="1" s="1"/>
  <c r="E59" i="1"/>
  <c r="E60" i="1" s="1"/>
  <c r="E64" i="1" s="1"/>
  <c r="E54" i="1"/>
  <c r="E55" i="1" s="1"/>
  <c r="E56" i="1" s="1"/>
  <c r="E41" i="1"/>
  <c r="E42" i="1" s="1"/>
  <c r="E38" i="1"/>
  <c r="E39" i="1" s="1"/>
  <c r="E33" i="1"/>
  <c r="E34" i="1" s="1"/>
  <c r="E35" i="1" s="1"/>
  <c r="E28" i="1"/>
  <c r="E25" i="1"/>
  <c r="E24" i="1"/>
  <c r="E19" i="1"/>
  <c r="E20" i="1" s="1"/>
  <c r="E26" i="1" l="1"/>
  <c r="E121" i="1" s="1"/>
  <c r="E43" i="1"/>
  <c r="E81" i="1"/>
  <c r="E29" i="1"/>
  <c r="E122" i="1" s="1"/>
  <c r="E21" i="1"/>
  <c r="E123" i="1" l="1"/>
  <c r="E126" i="1" s="1"/>
  <c r="E30" i="1"/>
</calcChain>
</file>

<file path=xl/sharedStrings.xml><?xml version="1.0" encoding="utf-8"?>
<sst xmlns="http://schemas.openxmlformats.org/spreadsheetml/2006/main" count="158" uniqueCount="73">
  <si>
    <t>Ед.изм.</t>
  </si>
  <si>
    <t>Кол-во</t>
  </si>
  <si>
    <t>Цена за ед</t>
  </si>
  <si>
    <t>Сумма</t>
  </si>
  <si>
    <t>Работы:</t>
  </si>
  <si>
    <t>м2</t>
  </si>
  <si>
    <t>Итого за работы:</t>
  </si>
  <si>
    <t>ИТОГО по Разделу:</t>
  </si>
  <si>
    <t>м/п</t>
  </si>
  <si>
    <t>Материалы:</t>
  </si>
  <si>
    <t>кг</t>
  </si>
  <si>
    <t>Итого за материалы:</t>
  </si>
  <si>
    <t>Нанесение праймера в 1 слой. Плоскость и парапет</t>
  </si>
  <si>
    <t>Монтаж пароизоляции в 1 слой</t>
  </si>
  <si>
    <t>Газ пропан</t>
  </si>
  <si>
    <t>л</t>
  </si>
  <si>
    <t>шт</t>
  </si>
  <si>
    <t>Устройство водоприемных воронок.</t>
  </si>
  <si>
    <t>Общая сумма по разделам:</t>
  </si>
  <si>
    <t>Утилизация строительного мусора (складируем на территории Заказчика):</t>
  </si>
  <si>
    <t>Итого общая сумма по всем разделам:</t>
  </si>
  <si>
    <t>Согласовано</t>
  </si>
  <si>
    <t>Утверждаю</t>
  </si>
  <si>
    <t xml:space="preserve">ИНН/ КПП </t>
  </si>
  <si>
    <t>Директор______________________  (Ф.И.О)</t>
  </si>
  <si>
    <t>СМЕТА №1</t>
  </si>
  <si>
    <t>«Подрядчик»</t>
  </si>
  <si>
    <t>«Заказчик»</t>
  </si>
  <si>
    <t>ООО «______________________________»</t>
  </si>
  <si>
    <t>Песок, цемент М-500, фибра, пленка</t>
  </si>
  <si>
    <t>Устройство армированной стяжки (армирование фиброй), уклон 1% + контруклон</t>
  </si>
  <si>
    <t>Подготовка поверхности (зачистка поверхности, удаление наплывов, обеспыливание )</t>
  </si>
  <si>
    <t>Алмазное бурение</t>
  </si>
  <si>
    <t>Организационные расходы (доставка + накладные + подъемы и механизмы):</t>
  </si>
  <si>
    <t>ед.изм.</t>
  </si>
  <si>
    <t>Раствор цементно-песчаный М150</t>
  </si>
  <si>
    <t>м.п</t>
  </si>
  <si>
    <t>м3</t>
  </si>
  <si>
    <t>л.</t>
  </si>
  <si>
    <t>Нанесение праймера в 1 слой. Плоскость и парапет.</t>
  </si>
  <si>
    <t>Нанесение праймера</t>
  </si>
  <si>
    <t xml:space="preserve">Монтаж гидроизоляционного покрытия из полимеро-битумного наплавляемого материала в 2 слоя </t>
  </si>
  <si>
    <t>Устройство бортика из цементно-песчаного раствора М 150.</t>
  </si>
  <si>
    <t>Устройство наплавляемой пароизоляции.</t>
  </si>
  <si>
    <t>Подготовительные работы.</t>
  </si>
  <si>
    <t xml:space="preserve">Устройство усиления галтели, внутренних и внешних углов.  </t>
  </si>
  <si>
    <t>Монтаж краевой кровельной планки</t>
  </si>
  <si>
    <t>ИТОГО по Разделам монтажные работы кровля из БРМ</t>
  </si>
  <si>
    <t>ИТОГО по Разделам материалы кровля из БРМ</t>
  </si>
  <si>
    <t>Наименование работ. Кровля из БРМ</t>
  </si>
  <si>
    <t>Устройство гидроизоляционного слоя кровли из битумосодержащего рулонного материала.</t>
  </si>
  <si>
    <t>Устройство краевой алюминиевой планки.</t>
  </si>
  <si>
    <t>Устройство утеплителя 150 мм.</t>
  </si>
  <si>
    <t>Устройство полусухой стяжки с разуклонкой 1%</t>
  </si>
  <si>
    <t xml:space="preserve">Устройство гидроизоляционного слоя кровли из битумосодержащего рулонного материала на фундаментах под оборудование. </t>
  </si>
  <si>
    <t>Устройство гидроизоляции примыканий к фундаментам под оборудование высотой до 500 мм  из битумосодержащего рулонного материала в два слоя.</t>
  </si>
  <si>
    <t>Монтаж гидроизоляции примыканий к фундаментам под оборудование высотой до 500 мм из полимеро-битумного наплавляемого материала в два слоя.</t>
  </si>
  <si>
    <t>Устройство примыкания гидроизоляции к стенам, вент. проходам и выходу на кровлю высотой до 500 мм из битумосодержащего рулонного материала в два слоя.</t>
  </si>
  <si>
    <t>Монтаж гидроизоляции к стенам, вент. проходам и выходу на кровлю высотой до 500 мм из полимеро-битумного наплавляемого материала в два слоя.</t>
  </si>
  <si>
    <t>Монтаж  воронок с обогревом</t>
  </si>
  <si>
    <t>Устройство утеплителя в 3 слоя с пропениванием швов, перехлестом, толщиной 150мм.</t>
  </si>
  <si>
    <t>Устройство примыкания гидроизоляции по оси А/1-7 до 500 мм из битумосодержащего рулонного материала в два слоя.</t>
  </si>
  <si>
    <t>Монтаж примыкания гидроизоляции по оси А/1-7 до 500 мм из полимеро-битумного наплавляемого материала в два слоя.</t>
  </si>
  <si>
    <t>Монтаж гидроизоляции деформационного шва по оси В-Г/1-7 до 500 мм из полимеро-битумного наплавляемого материала в два слоя.</t>
  </si>
  <si>
    <t>Устройство и гидроизоляции деформационного шва по оси В-Г/1-7 до 500 мм из битумосодержащего рулонного материала в два слоя.</t>
  </si>
  <si>
    <t>ООО «СК-ЮГ»</t>
  </si>
  <si>
    <t>ИНН / КПП: 2312330110/ 231201001</t>
  </si>
  <si>
    <t>Ген. Директор________________  (Панюков А.А.)</t>
  </si>
  <si>
    <t>Приложение №1 к Договору подряда №__________ от __.__.2025 г.</t>
  </si>
  <si>
    <t xml:space="preserve"> по  Договору подряда  №2025.____ от ______2025 г.</t>
  </si>
  <si>
    <t>Устройство бортика (галтель)</t>
  </si>
  <si>
    <t xml:space="preserve">Наименование объекта: </t>
  </si>
  <si>
    <t xml:space="preserve">Адрес объекта: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</si>
</sst>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10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9"/>
      <name val="Arial"/>
      <family val="2"/>
      <charset val="204"/>
    </font>
    <font>
      <sz val="11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i/>
      <sz val="11"/>
      <color theme="1"/>
      <name val="Arial"/>
      <family val="2"/>
      <charset val="204"/>
    </font>
    <font>
      <b/>
      <i/>
      <sz val="12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sz val="18"/>
      <color theme="1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/>
    <xf numFmtId="0" fontId="3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 wrapText="1"/>
    </xf>
    <xf numFmtId="2" fontId="4" fillId="0" borderId="1" xfId="0" applyNumberFormat="1" applyFont="1" applyBorder="1" applyAlignment="1">
      <alignment horizontal="right" wrapText="1"/>
    </xf>
    <xf numFmtId="0" fontId="4" fillId="0" borderId="1" xfId="0" applyFont="1" applyBorder="1" applyAlignment="1">
      <alignment horizontal="center" wrapText="1"/>
    </xf>
    <xf numFmtId="2" fontId="4" fillId="0" borderId="1" xfId="0" applyNumberFormat="1" applyFont="1" applyBorder="1" applyAlignment="1">
      <alignment horizontal="center" wrapText="1"/>
    </xf>
    <xf numFmtId="2" fontId="4" fillId="2" borderId="1" xfId="0" applyNumberFormat="1" applyFont="1" applyFill="1" applyBorder="1" applyAlignment="1">
      <alignment wrapText="1"/>
    </xf>
    <xf numFmtId="164" fontId="4" fillId="0" borderId="1" xfId="0" applyNumberFormat="1" applyFont="1" applyBorder="1" applyAlignment="1">
      <alignment wrapText="1"/>
    </xf>
    <xf numFmtId="2" fontId="4" fillId="0" borderId="1" xfId="0" applyNumberFormat="1" applyFont="1" applyBorder="1" applyAlignment="1">
      <alignment wrapText="1"/>
    </xf>
    <xf numFmtId="0" fontId="4" fillId="2" borderId="1" xfId="0" applyFont="1" applyFill="1" applyBorder="1"/>
    <xf numFmtId="0" fontId="7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164" fontId="4" fillId="2" borderId="1" xfId="0" applyNumberFormat="1" applyFont="1" applyFill="1" applyBorder="1" applyAlignment="1">
      <alignment horizontal="center" wrapText="1"/>
    </xf>
    <xf numFmtId="2" fontId="4" fillId="2" borderId="1" xfId="0" applyNumberFormat="1" applyFont="1" applyFill="1" applyBorder="1" applyAlignment="1">
      <alignment horizontal="center" wrapText="1"/>
    </xf>
    <xf numFmtId="164" fontId="7" fillId="2" borderId="1" xfId="0" applyNumberFormat="1" applyFont="1" applyFill="1" applyBorder="1" applyAlignment="1">
      <alignment wrapText="1"/>
    </xf>
    <xf numFmtId="164" fontId="4" fillId="2" borderId="1" xfId="0" applyNumberFormat="1" applyFont="1" applyFill="1" applyBorder="1" applyAlignment="1">
      <alignment wrapText="1"/>
    </xf>
    <xf numFmtId="2" fontId="7" fillId="2" borderId="1" xfId="0" applyNumberFormat="1" applyFont="1" applyFill="1" applyBorder="1" applyAlignment="1">
      <alignment wrapText="1"/>
    </xf>
    <xf numFmtId="0" fontId="3" fillId="0" borderId="7" xfId="0" applyFont="1" applyBorder="1"/>
    <xf numFmtId="0" fontId="6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wrapText="1"/>
    </xf>
    <xf numFmtId="164" fontId="4" fillId="0" borderId="7" xfId="0" applyNumberFormat="1" applyFont="1" applyBorder="1" applyAlignment="1">
      <alignment horizontal="right"/>
    </xf>
    <xf numFmtId="0" fontId="7" fillId="2" borderId="6" xfId="0" applyFont="1" applyFill="1" applyBorder="1"/>
    <xf numFmtId="164" fontId="7" fillId="2" borderId="7" xfId="0" applyNumberFormat="1" applyFont="1" applyFill="1" applyBorder="1" applyAlignment="1">
      <alignment horizontal="right"/>
    </xf>
    <xf numFmtId="0" fontId="6" fillId="0" borderId="6" xfId="0" applyFont="1" applyBorder="1" applyAlignment="1">
      <alignment horizontal="center" wrapText="1"/>
    </xf>
    <xf numFmtId="0" fontId="4" fillId="0" borderId="7" xfId="0" applyFont="1" applyBorder="1" applyAlignment="1">
      <alignment wrapText="1"/>
    </xf>
    <xf numFmtId="164" fontId="4" fillId="0" borderId="7" xfId="0" applyNumberFormat="1" applyFont="1" applyBorder="1" applyAlignment="1">
      <alignment horizontal="right" wrapText="1"/>
    </xf>
    <xf numFmtId="0" fontId="7" fillId="2" borderId="6" xfId="0" applyFont="1" applyFill="1" applyBorder="1" applyAlignment="1">
      <alignment wrapText="1"/>
    </xf>
    <xf numFmtId="164" fontId="7" fillId="2" borderId="7" xfId="0" applyNumberFormat="1" applyFont="1" applyFill="1" applyBorder="1" applyAlignment="1">
      <alignment horizontal="right" wrapText="1"/>
    </xf>
    <xf numFmtId="164" fontId="4" fillId="0" borderId="7" xfId="0" applyNumberFormat="1" applyFont="1" applyBorder="1" applyAlignment="1">
      <alignment wrapText="1"/>
    </xf>
    <xf numFmtId="164" fontId="7" fillId="2" borderId="7" xfId="0" applyNumberFormat="1" applyFont="1" applyFill="1" applyBorder="1" applyAlignment="1">
      <alignment wrapText="1"/>
    </xf>
    <xf numFmtId="0" fontId="7" fillId="2" borderId="6" xfId="0" applyFont="1" applyFill="1" applyBorder="1" applyAlignment="1">
      <alignment horizontal="left" wrapText="1"/>
    </xf>
    <xf numFmtId="0" fontId="4" fillId="2" borderId="6" xfId="0" applyFont="1" applyFill="1" applyBorder="1" applyAlignment="1">
      <alignment wrapText="1"/>
    </xf>
    <xf numFmtId="164" fontId="4" fillId="2" borderId="7" xfId="0" applyNumberFormat="1" applyFont="1" applyFill="1" applyBorder="1" applyAlignment="1">
      <alignment wrapText="1"/>
    </xf>
    <xf numFmtId="0" fontId="8" fillId="2" borderId="8" xfId="0" applyFont="1" applyFill="1" applyBorder="1" applyAlignment="1">
      <alignment wrapText="1"/>
    </xf>
    <xf numFmtId="0" fontId="8" fillId="2" borderId="9" xfId="0" applyFont="1" applyFill="1" applyBorder="1" applyAlignment="1">
      <alignment wrapText="1"/>
    </xf>
    <xf numFmtId="0" fontId="9" fillId="2" borderId="9" xfId="0" applyFont="1" applyFill="1" applyBorder="1" applyAlignment="1">
      <alignment wrapText="1"/>
    </xf>
    <xf numFmtId="164" fontId="8" fillId="2" borderId="10" xfId="0" applyNumberFormat="1" applyFont="1" applyFill="1" applyBorder="1" applyAlignment="1">
      <alignment wrapText="1"/>
    </xf>
    <xf numFmtId="0" fontId="5" fillId="0" borderId="11" xfId="0" applyFont="1" applyBorder="1" applyAlignment="1">
      <alignment vertical="center" wrapText="1"/>
    </xf>
    <xf numFmtId="0" fontId="3" fillId="0" borderId="2" xfId="0" applyFont="1" applyBorder="1"/>
    <xf numFmtId="0" fontId="3" fillId="0" borderId="12" xfId="0" applyFont="1" applyBorder="1"/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right" wrapText="1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wrapText="1"/>
    </xf>
    <xf numFmtId="2" fontId="4" fillId="4" borderId="1" xfId="0" applyNumberFormat="1" applyFont="1" applyFill="1" applyBorder="1" applyAlignment="1">
      <alignment horizontal="right" wrapText="1"/>
    </xf>
    <xf numFmtId="164" fontId="4" fillId="4" borderId="1" xfId="0" applyNumberFormat="1" applyFont="1" applyFill="1" applyBorder="1" applyAlignment="1">
      <alignment horizontal="center" wrapText="1"/>
    </xf>
    <xf numFmtId="164" fontId="7" fillId="4" borderId="7" xfId="0" applyNumberFormat="1" applyFont="1" applyFill="1" applyBorder="1" applyAlignment="1">
      <alignment horizontal="right" wrapText="1"/>
    </xf>
    <xf numFmtId="2" fontId="4" fillId="4" borderId="1" xfId="0" applyNumberFormat="1" applyFont="1" applyFill="1" applyBorder="1" applyAlignment="1">
      <alignment wrapText="1"/>
    </xf>
    <xf numFmtId="164" fontId="7" fillId="4" borderId="7" xfId="0" applyNumberFormat="1" applyFont="1" applyFill="1" applyBorder="1" applyAlignment="1">
      <alignment wrapText="1"/>
    </xf>
    <xf numFmtId="164" fontId="5" fillId="4" borderId="7" xfId="0" applyNumberFormat="1" applyFont="1" applyFill="1" applyBorder="1" applyAlignment="1">
      <alignment wrapText="1"/>
    </xf>
    <xf numFmtId="164" fontId="4" fillId="4" borderId="1" xfId="0" applyNumberFormat="1" applyFont="1" applyFill="1" applyBorder="1" applyAlignment="1">
      <alignment wrapText="1"/>
    </xf>
    <xf numFmtId="0" fontId="7" fillId="4" borderId="1" xfId="0" applyFont="1" applyFill="1" applyBorder="1" applyAlignment="1">
      <alignment wrapText="1"/>
    </xf>
    <xf numFmtId="2" fontId="7" fillId="4" borderId="1" xfId="0" applyNumberFormat="1" applyFont="1" applyFill="1" applyBorder="1" applyAlignment="1">
      <alignment wrapText="1"/>
    </xf>
    <xf numFmtId="164" fontId="7" fillId="4" borderId="1" xfId="0" applyNumberFormat="1" applyFont="1" applyFill="1" applyBorder="1" applyAlignment="1">
      <alignment wrapText="1"/>
    </xf>
    <xf numFmtId="164" fontId="7" fillId="4" borderId="7" xfId="0" applyNumberFormat="1" applyFont="1" applyFill="1" applyBorder="1" applyAlignment="1">
      <alignment horizontal="right"/>
    </xf>
    <xf numFmtId="0" fontId="7" fillId="5" borderId="6" xfId="0" applyFont="1" applyFill="1" applyBorder="1" applyAlignment="1">
      <alignment horizontal="right" wrapText="1"/>
    </xf>
    <xf numFmtId="0" fontId="4" fillId="5" borderId="1" xfId="0" applyFont="1" applyFill="1" applyBorder="1" applyAlignment="1">
      <alignment wrapText="1"/>
    </xf>
    <xf numFmtId="2" fontId="4" fillId="5" borderId="1" xfId="0" applyNumberFormat="1" applyFont="1" applyFill="1" applyBorder="1" applyAlignment="1">
      <alignment horizontal="center" wrapText="1"/>
    </xf>
    <xf numFmtId="164" fontId="4" fillId="5" borderId="1" xfId="0" applyNumberFormat="1" applyFont="1" applyFill="1" applyBorder="1" applyAlignment="1">
      <alignment horizontal="center" wrapText="1"/>
    </xf>
    <xf numFmtId="164" fontId="7" fillId="5" borderId="7" xfId="0" applyNumberFormat="1" applyFont="1" applyFill="1" applyBorder="1" applyAlignment="1">
      <alignment horizontal="right" wrapText="1"/>
    </xf>
    <xf numFmtId="2" fontId="4" fillId="5" borderId="1" xfId="0" applyNumberFormat="1" applyFont="1" applyFill="1" applyBorder="1" applyAlignment="1">
      <alignment wrapText="1"/>
    </xf>
    <xf numFmtId="164" fontId="7" fillId="5" borderId="7" xfId="0" applyNumberFormat="1" applyFont="1" applyFill="1" applyBorder="1" applyAlignment="1">
      <alignment wrapText="1"/>
    </xf>
    <xf numFmtId="164" fontId="4" fillId="5" borderId="1" xfId="0" applyNumberFormat="1" applyFont="1" applyFill="1" applyBorder="1" applyAlignment="1">
      <alignment wrapText="1"/>
    </xf>
    <xf numFmtId="2" fontId="4" fillId="6" borderId="1" xfId="0" applyNumberFormat="1" applyFont="1" applyFill="1" applyBorder="1" applyAlignment="1">
      <alignment horizontal="right"/>
    </xf>
    <xf numFmtId="2" fontId="4" fillId="6" borderId="1" xfId="0" applyNumberFormat="1" applyFont="1" applyFill="1" applyBorder="1" applyAlignment="1">
      <alignment horizontal="right" wrapText="1"/>
    </xf>
    <xf numFmtId="2" fontId="4" fillId="6" borderId="1" xfId="0" applyNumberFormat="1" applyFont="1" applyFill="1" applyBorder="1" applyAlignment="1">
      <alignment wrapText="1"/>
    </xf>
    <xf numFmtId="4" fontId="4" fillId="0" borderId="1" xfId="0" applyNumberFormat="1" applyFont="1" applyBorder="1" applyAlignment="1">
      <alignment wrapText="1"/>
    </xf>
    <xf numFmtId="164" fontId="4" fillId="6" borderId="1" xfId="0" applyNumberFormat="1" applyFont="1" applyFill="1" applyBorder="1" applyAlignment="1">
      <alignment horizontal="center" wrapText="1"/>
    </xf>
    <xf numFmtId="164" fontId="4" fillId="6" borderId="1" xfId="0" applyNumberFormat="1" applyFont="1" applyFill="1" applyBorder="1" applyAlignment="1">
      <alignment wrapText="1"/>
    </xf>
    <xf numFmtId="164" fontId="0" fillId="0" borderId="0" xfId="0" applyNumberFormat="1"/>
    <xf numFmtId="0" fontId="2" fillId="0" borderId="0" xfId="0" applyFont="1" applyAlignment="1">
      <alignment horizontal="left" vertical="center"/>
    </xf>
    <xf numFmtId="4" fontId="4" fillId="6" borderId="1" xfId="0" applyNumberFormat="1" applyFont="1" applyFill="1" applyBorder="1" applyAlignment="1">
      <alignment wrapText="1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0" borderId="6" xfId="0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5" fillId="0" borderId="7" xfId="0" applyFont="1" applyBorder="1" applyAlignment="1">
      <alignment horizontal="left" wrapText="1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7" fillId="4" borderId="6" xfId="0" applyFont="1" applyFill="1" applyBorder="1" applyAlignment="1">
      <alignment horizontal="left" wrapText="1"/>
    </xf>
    <xf numFmtId="0" fontId="7" fillId="4" borderId="1" xfId="0" applyFont="1" applyFill="1" applyBorder="1" applyAlignment="1">
      <alignment horizontal="left" wrapText="1"/>
    </xf>
    <xf numFmtId="0" fontId="7" fillId="5" borderId="6" xfId="0" applyFont="1" applyFill="1" applyBorder="1" applyAlignment="1">
      <alignment horizontal="left" wrapText="1"/>
    </xf>
    <xf numFmtId="0" fontId="7" fillId="5" borderId="1" xfId="0" applyFont="1" applyFill="1" applyBorder="1" applyAlignment="1">
      <alignment horizontal="left" wrapText="1"/>
    </xf>
    <xf numFmtId="0" fontId="7" fillId="0" borderId="6" xfId="0" applyFont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7" fillId="0" borderId="7" xfId="0" applyFont="1" applyBorder="1" applyAlignment="1">
      <alignment horizontal="left" wrapText="1"/>
    </xf>
    <xf numFmtId="0" fontId="5" fillId="0" borderId="16" xfId="0" applyFont="1" applyBorder="1" applyAlignment="1">
      <alignment wrapText="1"/>
    </xf>
    <xf numFmtId="0" fontId="5" fillId="0" borderId="17" xfId="0" applyFont="1" applyBorder="1" applyAlignment="1">
      <alignment wrapText="1"/>
    </xf>
    <xf numFmtId="0" fontId="5" fillId="0" borderId="18" xfId="0" applyFont="1" applyBorder="1" applyAlignment="1">
      <alignment wrapText="1"/>
    </xf>
    <xf numFmtId="0" fontId="7" fillId="7" borderId="16" xfId="0" applyFont="1" applyFill="1" applyBorder="1" applyAlignment="1">
      <alignment horizontal="center" wrapText="1"/>
    </xf>
    <xf numFmtId="0" fontId="7" fillId="7" borderId="17" xfId="0" applyFont="1" applyFill="1" applyBorder="1" applyAlignment="1">
      <alignment horizontal="center" wrapText="1"/>
    </xf>
    <xf numFmtId="0" fontId="7" fillId="7" borderId="18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9"/>
  <sheetViews>
    <sheetView tabSelected="1" topLeftCell="A97" zoomScale="90" zoomScaleNormal="90" workbookViewId="0">
      <selection activeCell="I23" sqref="I23"/>
    </sheetView>
  </sheetViews>
  <sheetFormatPr defaultRowHeight="14.25"/>
  <cols>
    <col min="1" max="1" width="61.875" customWidth="1"/>
    <col min="2" max="2" width="8" customWidth="1"/>
    <col min="3" max="3" width="12.375" customWidth="1"/>
    <col min="4" max="4" width="13.125" customWidth="1"/>
    <col min="5" max="5" width="22.75" customWidth="1"/>
  </cols>
  <sheetData>
    <row r="1" spans="1:5">
      <c r="A1" s="82" t="s">
        <v>68</v>
      </c>
      <c r="B1" s="82"/>
      <c r="C1" s="82"/>
      <c r="D1" s="82"/>
      <c r="E1" s="82"/>
    </row>
    <row r="2" spans="1:5">
      <c r="A2" s="3"/>
      <c r="B2" s="3"/>
      <c r="C2" s="3"/>
      <c r="D2" s="3"/>
      <c r="E2" s="3"/>
    </row>
    <row r="3" spans="1:5">
      <c r="A3" s="80" t="s">
        <v>21</v>
      </c>
      <c r="B3" s="2"/>
      <c r="C3" s="4"/>
      <c r="D3" s="83" t="s">
        <v>22</v>
      </c>
      <c r="E3" s="83"/>
    </row>
    <row r="4" spans="1:5">
      <c r="A4" s="83" t="s">
        <v>26</v>
      </c>
      <c r="B4" s="83"/>
      <c r="C4" s="4"/>
      <c r="D4" s="83" t="s">
        <v>27</v>
      </c>
      <c r="E4" s="83"/>
    </row>
    <row r="5" spans="1:5">
      <c r="A5" s="83" t="s">
        <v>65</v>
      </c>
      <c r="B5" s="83"/>
      <c r="C5" s="4"/>
      <c r="D5" s="83" t="s">
        <v>28</v>
      </c>
      <c r="E5" s="83"/>
    </row>
    <row r="6" spans="1:5">
      <c r="A6" s="83" t="s">
        <v>66</v>
      </c>
      <c r="B6" s="83"/>
      <c r="C6" s="4"/>
      <c r="D6" s="90" t="s">
        <v>23</v>
      </c>
      <c r="E6" s="90"/>
    </row>
    <row r="7" spans="1:5">
      <c r="A7" s="83" t="s">
        <v>67</v>
      </c>
      <c r="B7" s="83"/>
      <c r="C7" s="4"/>
      <c r="D7" s="83" t="s">
        <v>24</v>
      </c>
      <c r="E7" s="83"/>
    </row>
    <row r="8" spans="1:5">
      <c r="A8" s="4"/>
      <c r="B8" s="4"/>
      <c r="C8" s="4"/>
      <c r="D8" s="4"/>
      <c r="E8" s="4"/>
    </row>
    <row r="9" spans="1:5">
      <c r="A9" s="4"/>
      <c r="B9" s="4"/>
      <c r="C9" s="4"/>
      <c r="D9" s="4"/>
      <c r="E9" s="4"/>
    </row>
    <row r="10" spans="1:5">
      <c r="A10" s="91" t="s">
        <v>25</v>
      </c>
      <c r="B10" s="91"/>
      <c r="C10" s="91"/>
      <c r="D10" s="91"/>
      <c r="E10" s="91"/>
    </row>
    <row r="11" spans="1:5">
      <c r="A11" s="91" t="s">
        <v>69</v>
      </c>
      <c r="B11" s="91"/>
      <c r="C11" s="91"/>
      <c r="D11" s="91"/>
      <c r="E11" s="91"/>
    </row>
    <row r="12" spans="1:5">
      <c r="A12" s="4"/>
      <c r="B12" s="4"/>
      <c r="C12" s="4"/>
      <c r="D12" s="4"/>
      <c r="E12" s="4"/>
    </row>
    <row r="13" spans="1:5" ht="15" thickBot="1">
      <c r="A13" s="4"/>
      <c r="B13" s="4"/>
      <c r="C13" s="4"/>
      <c r="D13" s="4"/>
      <c r="E13" s="4"/>
    </row>
    <row r="14" spans="1:5" ht="15" thickBot="1">
      <c r="A14" s="87" t="s">
        <v>71</v>
      </c>
      <c r="B14" s="88"/>
      <c r="C14" s="88"/>
      <c r="D14" s="88"/>
      <c r="E14" s="89"/>
    </row>
    <row r="15" spans="1:5" ht="15" thickBot="1">
      <c r="A15" s="87" t="s">
        <v>72</v>
      </c>
      <c r="B15" s="88"/>
      <c r="C15" s="88"/>
      <c r="D15" s="88"/>
      <c r="E15" s="89"/>
    </row>
    <row r="16" spans="1:5" ht="38.25" customHeight="1" thickBot="1">
      <c r="A16" s="47" t="s">
        <v>49</v>
      </c>
      <c r="B16" s="48" t="s">
        <v>0</v>
      </c>
      <c r="C16" s="48" t="s">
        <v>1</v>
      </c>
      <c r="D16" s="48" t="s">
        <v>2</v>
      </c>
      <c r="E16" s="49" t="s">
        <v>3</v>
      </c>
    </row>
    <row r="17" spans="1:5" ht="24" customHeight="1">
      <c r="A17" s="44" t="s">
        <v>44</v>
      </c>
      <c r="B17" s="45"/>
      <c r="C17" s="45"/>
      <c r="D17" s="45"/>
      <c r="E17" s="46"/>
    </row>
    <row r="18" spans="1:5">
      <c r="A18" s="25" t="s">
        <v>4</v>
      </c>
      <c r="B18" s="5"/>
      <c r="C18" s="5"/>
      <c r="D18" s="5"/>
      <c r="E18" s="24"/>
    </row>
    <row r="19" spans="1:5" ht="31.5" customHeight="1">
      <c r="A19" s="26" t="s">
        <v>31</v>
      </c>
      <c r="B19" s="7" t="s">
        <v>5</v>
      </c>
      <c r="C19" s="73">
        <v>303.77999999999997</v>
      </c>
      <c r="D19" s="8">
        <v>50</v>
      </c>
      <c r="E19" s="27">
        <f>C19*D19</f>
        <v>15188.999999999998</v>
      </c>
    </row>
    <row r="20" spans="1:5" ht="15">
      <c r="A20" s="50" t="s">
        <v>6</v>
      </c>
      <c r="B20" s="51"/>
      <c r="C20" s="52"/>
      <c r="D20" s="52"/>
      <c r="E20" s="64">
        <f>E19</f>
        <v>15188.999999999998</v>
      </c>
    </row>
    <row r="21" spans="1:5" ht="15">
      <c r="A21" s="28" t="s">
        <v>7</v>
      </c>
      <c r="B21" s="16"/>
      <c r="C21" s="16"/>
      <c r="D21" s="16"/>
      <c r="E21" s="29">
        <f>E20</f>
        <v>15188.999999999998</v>
      </c>
    </row>
    <row r="22" spans="1:5" ht="15.75">
      <c r="A22" s="84" t="s">
        <v>43</v>
      </c>
      <c r="B22" s="85"/>
      <c r="C22" s="85"/>
      <c r="D22" s="85"/>
      <c r="E22" s="86"/>
    </row>
    <row r="23" spans="1:5" ht="15">
      <c r="A23" s="30" t="s">
        <v>4</v>
      </c>
      <c r="B23" s="6"/>
      <c r="C23" s="11"/>
      <c r="D23" s="9"/>
      <c r="E23" s="32"/>
    </row>
    <row r="24" spans="1:5" ht="15">
      <c r="A24" s="26" t="s">
        <v>12</v>
      </c>
      <c r="B24" s="6" t="s">
        <v>5</v>
      </c>
      <c r="C24" s="74">
        <f>C19+(169.24*0.2)</f>
        <v>337.62799999999999</v>
      </c>
      <c r="D24" s="9">
        <v>80</v>
      </c>
      <c r="E24" s="32">
        <f>C24*D24</f>
        <v>27010.239999999998</v>
      </c>
    </row>
    <row r="25" spans="1:5" ht="15">
      <c r="A25" s="26" t="s">
        <v>13</v>
      </c>
      <c r="B25" s="6" t="s">
        <v>5</v>
      </c>
      <c r="C25" s="74">
        <f>239.52+(169.24*0.2)</f>
        <v>273.36799999999999</v>
      </c>
      <c r="D25" s="9">
        <v>270</v>
      </c>
      <c r="E25" s="32">
        <f>C25*D25</f>
        <v>73809.36</v>
      </c>
    </row>
    <row r="26" spans="1:5" ht="15">
      <c r="A26" s="50" t="s">
        <v>6</v>
      </c>
      <c r="B26" s="53"/>
      <c r="C26" s="54"/>
      <c r="D26" s="55"/>
      <c r="E26" s="56">
        <f>SUM(E24:E25)</f>
        <v>100819.6</v>
      </c>
    </row>
    <row r="27" spans="1:5" ht="15">
      <c r="A27" s="30" t="s">
        <v>9</v>
      </c>
      <c r="B27" s="6"/>
      <c r="C27" s="10"/>
      <c r="D27" s="9"/>
      <c r="E27" s="32"/>
    </row>
    <row r="28" spans="1:5" ht="15">
      <c r="A28" s="26" t="s">
        <v>14</v>
      </c>
      <c r="B28" s="6" t="s">
        <v>15</v>
      </c>
      <c r="C28" s="10">
        <f>C25*0.47</f>
        <v>128.48295999999999</v>
      </c>
      <c r="D28" s="9">
        <v>38</v>
      </c>
      <c r="E28" s="32">
        <f>C28*D28</f>
        <v>4882.3524799999996</v>
      </c>
    </row>
    <row r="29" spans="1:5" ht="15">
      <c r="A29" s="65" t="s">
        <v>11</v>
      </c>
      <c r="B29" s="66"/>
      <c r="C29" s="67"/>
      <c r="D29" s="68"/>
      <c r="E29" s="69">
        <f>SUM(E28:E28)</f>
        <v>4882.3524799999996</v>
      </c>
    </row>
    <row r="30" spans="1:5" ht="15">
      <c r="A30" s="33" t="s">
        <v>7</v>
      </c>
      <c r="B30" s="18"/>
      <c r="C30" s="20"/>
      <c r="D30" s="19"/>
      <c r="E30" s="34">
        <f>E26+E29</f>
        <v>105701.95248000001</v>
      </c>
    </row>
    <row r="31" spans="1:5" ht="15.75">
      <c r="A31" s="84" t="s">
        <v>52</v>
      </c>
      <c r="B31" s="85"/>
      <c r="C31" s="85"/>
      <c r="D31" s="85"/>
      <c r="E31" s="86"/>
    </row>
    <row r="32" spans="1:5" ht="15">
      <c r="A32" s="30" t="s">
        <v>4</v>
      </c>
      <c r="B32" s="6"/>
      <c r="C32" s="12"/>
      <c r="D32" s="9"/>
      <c r="E32" s="32"/>
    </row>
    <row r="33" spans="1:5" ht="30">
      <c r="A33" s="26" t="s">
        <v>60</v>
      </c>
      <c r="B33" s="6" t="s">
        <v>5</v>
      </c>
      <c r="C33" s="74">
        <v>239.34</v>
      </c>
      <c r="D33" s="9">
        <v>400</v>
      </c>
      <c r="E33" s="32">
        <f>C33*D33</f>
        <v>95736</v>
      </c>
    </row>
    <row r="34" spans="1:5" ht="15">
      <c r="A34" s="50" t="s">
        <v>6</v>
      </c>
      <c r="B34" s="53"/>
      <c r="C34" s="54"/>
      <c r="D34" s="55"/>
      <c r="E34" s="56">
        <f>E33</f>
        <v>95736</v>
      </c>
    </row>
    <row r="35" spans="1:5" ht="15">
      <c r="A35" s="33" t="s">
        <v>7</v>
      </c>
      <c r="B35" s="18"/>
      <c r="C35" s="18"/>
      <c r="D35" s="18"/>
      <c r="E35" s="34">
        <f>E34</f>
        <v>95736</v>
      </c>
    </row>
    <row r="36" spans="1:5" ht="15.75">
      <c r="A36" s="84" t="s">
        <v>53</v>
      </c>
      <c r="B36" s="85"/>
      <c r="C36" s="85"/>
      <c r="D36" s="85"/>
      <c r="E36" s="86"/>
    </row>
    <row r="37" spans="1:5" ht="15">
      <c r="A37" s="30" t="s">
        <v>4</v>
      </c>
      <c r="B37" s="6"/>
      <c r="C37" s="15"/>
      <c r="D37" s="9"/>
      <c r="E37" s="35"/>
    </row>
    <row r="38" spans="1:5" ht="30">
      <c r="A38" s="26" t="s">
        <v>30</v>
      </c>
      <c r="B38" s="6" t="s">
        <v>5</v>
      </c>
      <c r="C38" s="75">
        <f>C19</f>
        <v>303.77999999999997</v>
      </c>
      <c r="D38" s="9">
        <v>1200</v>
      </c>
      <c r="E38" s="35">
        <f>C38*D38</f>
        <v>364535.99999999994</v>
      </c>
    </row>
    <row r="39" spans="1:5" ht="15">
      <c r="A39" s="50" t="s">
        <v>6</v>
      </c>
      <c r="B39" s="53"/>
      <c r="C39" s="57"/>
      <c r="D39" s="55"/>
      <c r="E39" s="58">
        <f>E38</f>
        <v>364535.99999999994</v>
      </c>
    </row>
    <row r="40" spans="1:5" ht="15">
      <c r="A40" s="30" t="s">
        <v>9</v>
      </c>
      <c r="B40" s="6"/>
      <c r="C40" s="15"/>
      <c r="D40" s="9"/>
      <c r="E40" s="35"/>
    </row>
    <row r="41" spans="1:5" ht="15">
      <c r="A41" s="26" t="s">
        <v>29</v>
      </c>
      <c r="B41" s="6" t="s">
        <v>10</v>
      </c>
      <c r="C41" s="81">
        <f>(C38*0.18)*2000</f>
        <v>109360.79999999999</v>
      </c>
      <c r="D41" s="9">
        <v>2.8</v>
      </c>
      <c r="E41" s="35">
        <f>C41*D41</f>
        <v>306210.23999999993</v>
      </c>
    </row>
    <row r="42" spans="1:5" ht="15">
      <c r="A42" s="65" t="s">
        <v>11</v>
      </c>
      <c r="B42" s="66"/>
      <c r="C42" s="70"/>
      <c r="D42" s="68"/>
      <c r="E42" s="71">
        <f>E41</f>
        <v>306210.23999999993</v>
      </c>
    </row>
    <row r="43" spans="1:5" ht="15">
      <c r="A43" s="33" t="s">
        <v>7</v>
      </c>
      <c r="B43" s="18"/>
      <c r="C43" s="13"/>
      <c r="D43" s="19"/>
      <c r="E43" s="36">
        <f>E42+E39</f>
        <v>670746.23999999987</v>
      </c>
    </row>
    <row r="44" spans="1:5" ht="15.75">
      <c r="A44" s="84" t="s">
        <v>42</v>
      </c>
      <c r="B44" s="85"/>
      <c r="C44" s="85"/>
      <c r="D44" s="85"/>
      <c r="E44" s="86"/>
    </row>
    <row r="45" spans="1:5" ht="15">
      <c r="A45" s="30" t="s">
        <v>4</v>
      </c>
      <c r="B45" s="6"/>
      <c r="C45" s="15"/>
      <c r="D45" s="9"/>
      <c r="E45" s="35"/>
    </row>
    <row r="46" spans="1:5" ht="15">
      <c r="A46" s="26" t="s">
        <v>70</v>
      </c>
      <c r="B46" s="6" t="s">
        <v>36</v>
      </c>
      <c r="C46" s="75">
        <v>169.24</v>
      </c>
      <c r="D46" s="77">
        <v>350</v>
      </c>
      <c r="E46" s="35">
        <f>C46*D46</f>
        <v>59234</v>
      </c>
    </row>
    <row r="47" spans="1:5" ht="15">
      <c r="A47" s="50" t="s">
        <v>6</v>
      </c>
      <c r="B47" s="53"/>
      <c r="C47" s="57"/>
      <c r="D47" s="55"/>
      <c r="E47" s="58">
        <f>E46</f>
        <v>59234</v>
      </c>
    </row>
    <row r="48" spans="1:5" ht="15">
      <c r="A48" s="30" t="s">
        <v>9</v>
      </c>
      <c r="B48" s="6"/>
      <c r="C48" s="15"/>
      <c r="D48" s="9"/>
      <c r="E48" s="35"/>
    </row>
    <row r="49" spans="1:5" ht="15">
      <c r="A49" s="26" t="s">
        <v>35</v>
      </c>
      <c r="B49" s="6" t="s">
        <v>37</v>
      </c>
      <c r="C49" s="76">
        <f>((C46*0.1*0.1)/2)*1.05</f>
        <v>0.88851000000000024</v>
      </c>
      <c r="D49" s="77">
        <v>9000</v>
      </c>
      <c r="E49" s="35">
        <f>C49*D49</f>
        <v>7996.590000000002</v>
      </c>
    </row>
    <row r="50" spans="1:5" ht="15">
      <c r="A50" s="65" t="s">
        <v>11</v>
      </c>
      <c r="B50" s="66"/>
      <c r="C50" s="70"/>
      <c r="D50" s="68"/>
      <c r="E50" s="71">
        <f>E49</f>
        <v>7996.590000000002</v>
      </c>
    </row>
    <row r="51" spans="1:5" ht="15">
      <c r="A51" s="33" t="s">
        <v>7</v>
      </c>
      <c r="B51" s="18"/>
      <c r="C51" s="13"/>
      <c r="D51" s="19"/>
      <c r="E51" s="36">
        <f>E50+E47</f>
        <v>67230.59</v>
      </c>
    </row>
    <row r="52" spans="1:5" ht="15.75">
      <c r="A52" s="84" t="s">
        <v>39</v>
      </c>
      <c r="B52" s="85"/>
      <c r="C52" s="85"/>
      <c r="D52" s="85"/>
      <c r="E52" s="86"/>
    </row>
    <row r="53" spans="1:5" ht="15">
      <c r="A53" s="30" t="s">
        <v>4</v>
      </c>
      <c r="B53" s="6"/>
      <c r="C53" s="15"/>
      <c r="D53" s="9"/>
      <c r="E53" s="35"/>
    </row>
    <row r="54" spans="1:5" ht="15">
      <c r="A54" s="26" t="s">
        <v>40</v>
      </c>
      <c r="B54" s="6" t="s">
        <v>5</v>
      </c>
      <c r="C54" s="75">
        <f>C19+(169.24*0.5)</f>
        <v>388.4</v>
      </c>
      <c r="D54" s="77">
        <v>80</v>
      </c>
      <c r="E54" s="35">
        <f>C54*D54</f>
        <v>31072</v>
      </c>
    </row>
    <row r="55" spans="1:5" ht="15.75">
      <c r="A55" s="50" t="s">
        <v>6</v>
      </c>
      <c r="B55" s="53"/>
      <c r="C55" s="57"/>
      <c r="D55" s="55"/>
      <c r="E55" s="59">
        <f>E54</f>
        <v>31072</v>
      </c>
    </row>
    <row r="56" spans="1:5" ht="15">
      <c r="A56" s="33" t="s">
        <v>7</v>
      </c>
      <c r="B56" s="18"/>
      <c r="C56" s="18"/>
      <c r="D56" s="19"/>
      <c r="E56" s="36">
        <f>E55</f>
        <v>31072</v>
      </c>
    </row>
    <row r="57" spans="1:5" ht="15">
      <c r="A57" s="96" t="s">
        <v>50</v>
      </c>
      <c r="B57" s="97"/>
      <c r="C57" s="97"/>
      <c r="D57" s="97"/>
      <c r="E57" s="98"/>
    </row>
    <row r="58" spans="1:5" ht="15">
      <c r="A58" s="30" t="s">
        <v>4</v>
      </c>
      <c r="B58" s="6"/>
      <c r="C58" s="6"/>
      <c r="D58" s="6"/>
      <c r="E58" s="31"/>
    </row>
    <row r="59" spans="1:5" ht="30">
      <c r="A59" s="26" t="s">
        <v>41</v>
      </c>
      <c r="B59" s="6" t="s">
        <v>5</v>
      </c>
      <c r="C59" s="75">
        <v>239.34</v>
      </c>
      <c r="D59" s="77">
        <v>540</v>
      </c>
      <c r="E59" s="35">
        <f>C59*D59</f>
        <v>129243.6</v>
      </c>
    </row>
    <row r="60" spans="1:5" ht="15">
      <c r="A60" s="50" t="s">
        <v>6</v>
      </c>
      <c r="B60" s="53"/>
      <c r="C60" s="57"/>
      <c r="D60" s="55"/>
      <c r="E60" s="58">
        <f>E59</f>
        <v>129243.6</v>
      </c>
    </row>
    <row r="61" spans="1:5" ht="15">
      <c r="A61" s="30" t="s">
        <v>9</v>
      </c>
      <c r="B61" s="6"/>
      <c r="C61" s="15"/>
      <c r="D61" s="9"/>
      <c r="E61" s="35"/>
    </row>
    <row r="62" spans="1:5" ht="15">
      <c r="A62" s="26" t="s">
        <v>14</v>
      </c>
      <c r="B62" s="6" t="s">
        <v>38</v>
      </c>
      <c r="C62" s="76">
        <f>(C59*0.47)*2</f>
        <v>224.97959999999998</v>
      </c>
      <c r="D62" s="77">
        <v>38</v>
      </c>
      <c r="E62" s="35">
        <f>C62*D62</f>
        <v>8549.2248</v>
      </c>
    </row>
    <row r="63" spans="1:5" ht="15">
      <c r="A63" s="65" t="s">
        <v>11</v>
      </c>
      <c r="B63" s="66"/>
      <c r="C63" s="66"/>
      <c r="D63" s="66"/>
      <c r="E63" s="71">
        <f>SUM(E62:E62)</f>
        <v>8549.2248</v>
      </c>
    </row>
    <row r="64" spans="1:5" ht="15">
      <c r="A64" s="33" t="s">
        <v>7</v>
      </c>
      <c r="B64" s="17"/>
      <c r="C64" s="17"/>
      <c r="D64" s="17"/>
      <c r="E64" s="36">
        <f>E60+E63</f>
        <v>137792.8248</v>
      </c>
    </row>
    <row r="65" spans="1:8" ht="36.6" customHeight="1">
      <c r="A65" s="96" t="s">
        <v>54</v>
      </c>
      <c r="B65" s="97"/>
      <c r="C65" s="97"/>
      <c r="D65" s="97"/>
      <c r="E65" s="98"/>
    </row>
    <row r="66" spans="1:8" ht="15">
      <c r="A66" s="30" t="s">
        <v>4</v>
      </c>
      <c r="B66" s="6"/>
      <c r="C66" s="6"/>
      <c r="D66" s="6"/>
      <c r="E66" s="31"/>
    </row>
    <row r="67" spans="1:8" ht="30">
      <c r="A67" s="26" t="s">
        <v>41</v>
      </c>
      <c r="B67" s="6" t="s">
        <v>5</v>
      </c>
      <c r="C67" s="75">
        <v>64.44</v>
      </c>
      <c r="D67" s="77">
        <v>600</v>
      </c>
      <c r="E67" s="35">
        <f>C67*D67</f>
        <v>38664</v>
      </c>
    </row>
    <row r="68" spans="1:8" ht="15">
      <c r="A68" s="50" t="s">
        <v>6</v>
      </c>
      <c r="B68" s="53"/>
      <c r="C68" s="57"/>
      <c r="D68" s="55"/>
      <c r="E68" s="58">
        <f>E67</f>
        <v>38664</v>
      </c>
    </row>
    <row r="69" spans="1:8" ht="15">
      <c r="A69" s="30" t="s">
        <v>9</v>
      </c>
      <c r="B69" s="6"/>
      <c r="C69" s="15"/>
      <c r="D69" s="9"/>
      <c r="E69" s="35"/>
    </row>
    <row r="70" spans="1:8" ht="15">
      <c r="A70" s="26" t="s">
        <v>14</v>
      </c>
      <c r="B70" s="6" t="s">
        <v>38</v>
      </c>
      <c r="C70" s="76">
        <f>(C67*0.47)*2</f>
        <v>60.573599999999992</v>
      </c>
      <c r="D70" s="77">
        <v>38</v>
      </c>
      <c r="E70" s="35">
        <f>C70*D70</f>
        <v>2301.7967999999996</v>
      </c>
    </row>
    <row r="71" spans="1:8" ht="15">
      <c r="A71" s="65" t="s">
        <v>11</v>
      </c>
      <c r="B71" s="66"/>
      <c r="C71" s="66"/>
      <c r="D71" s="66"/>
      <c r="E71" s="71">
        <f>SUM(E70:E70)</f>
        <v>2301.7967999999996</v>
      </c>
    </row>
    <row r="72" spans="1:8" ht="15">
      <c r="A72" s="33" t="s">
        <v>7</v>
      </c>
      <c r="B72" s="17"/>
      <c r="C72" s="17"/>
      <c r="D72" s="17"/>
      <c r="E72" s="36">
        <f>E68+E71</f>
        <v>40965.796799999996</v>
      </c>
    </row>
    <row r="73" spans="1:8" ht="36" customHeight="1">
      <c r="A73" s="84" t="s">
        <v>55</v>
      </c>
      <c r="B73" s="85"/>
      <c r="C73" s="85"/>
      <c r="D73" s="85"/>
      <c r="E73" s="86"/>
    </row>
    <row r="74" spans="1:8" ht="15">
      <c r="A74" s="30" t="s">
        <v>4</v>
      </c>
      <c r="B74" s="6"/>
      <c r="C74" s="6"/>
      <c r="D74" s="6"/>
      <c r="E74" s="31"/>
    </row>
    <row r="75" spans="1:8" ht="15">
      <c r="A75" s="26" t="s">
        <v>45</v>
      </c>
      <c r="B75" s="6" t="s">
        <v>8</v>
      </c>
      <c r="C75" s="75">
        <v>64.06</v>
      </c>
      <c r="D75" s="75">
        <v>150</v>
      </c>
      <c r="E75" s="35">
        <f>C75*D75</f>
        <v>9609</v>
      </c>
    </row>
    <row r="76" spans="1:8" ht="45">
      <c r="A76" s="26" t="s">
        <v>56</v>
      </c>
      <c r="B76" s="6" t="s">
        <v>8</v>
      </c>
      <c r="C76" s="75">
        <f>C75</f>
        <v>64.06</v>
      </c>
      <c r="D76" s="78">
        <v>700</v>
      </c>
      <c r="E76" s="35">
        <f>C76*D76</f>
        <v>44842</v>
      </c>
      <c r="F76" s="1"/>
      <c r="G76" s="1"/>
      <c r="H76" s="1"/>
    </row>
    <row r="77" spans="1:8" ht="15">
      <c r="A77" s="50" t="s">
        <v>6</v>
      </c>
      <c r="B77" s="53"/>
      <c r="C77" s="57"/>
      <c r="D77" s="60"/>
      <c r="E77" s="58">
        <f>SUM(E75:E76)</f>
        <v>54451</v>
      </c>
      <c r="F77" s="1"/>
      <c r="G77" s="1"/>
      <c r="H77" s="1"/>
    </row>
    <row r="78" spans="1:8" ht="15">
      <c r="A78" s="30" t="s">
        <v>9</v>
      </c>
      <c r="B78" s="6"/>
      <c r="C78" s="15"/>
      <c r="D78" s="14"/>
      <c r="E78" s="35"/>
      <c r="F78" s="1"/>
      <c r="G78" s="1"/>
      <c r="H78" s="1"/>
    </row>
    <row r="79" spans="1:8" ht="15">
      <c r="A79" s="26" t="s">
        <v>14</v>
      </c>
      <c r="B79" s="6" t="s">
        <v>38</v>
      </c>
      <c r="C79" s="15">
        <f>(60.47+86.48)*0.47</f>
        <v>69.066499999999991</v>
      </c>
      <c r="D79" s="77">
        <v>38</v>
      </c>
      <c r="E79" s="35">
        <f>C79*D79</f>
        <v>2624.5269999999996</v>
      </c>
      <c r="F79" s="1"/>
      <c r="G79" s="1"/>
      <c r="H79" s="1"/>
    </row>
    <row r="80" spans="1:8" ht="15">
      <c r="A80" s="65" t="s">
        <v>11</v>
      </c>
      <c r="B80" s="66"/>
      <c r="C80" s="70"/>
      <c r="D80" s="72"/>
      <c r="E80" s="71">
        <f>SUM(E79:E79)</f>
        <v>2624.5269999999996</v>
      </c>
      <c r="F80" s="1"/>
      <c r="G80" s="1"/>
      <c r="H80" s="1"/>
    </row>
    <row r="81" spans="1:8" ht="15">
      <c r="A81" s="33" t="s">
        <v>7</v>
      </c>
      <c r="B81" s="18"/>
      <c r="C81" s="13"/>
      <c r="D81" s="22"/>
      <c r="E81" s="36">
        <f>E77+E80</f>
        <v>57075.527000000002</v>
      </c>
      <c r="F81" s="1"/>
      <c r="G81" s="1"/>
      <c r="H81" s="1"/>
    </row>
    <row r="82" spans="1:8" ht="33.6" customHeight="1">
      <c r="A82" s="84" t="s">
        <v>57</v>
      </c>
      <c r="B82" s="85"/>
      <c r="C82" s="85"/>
      <c r="D82" s="85"/>
      <c r="E82" s="86"/>
      <c r="F82" s="1"/>
      <c r="G82" s="1"/>
      <c r="H82" s="1"/>
    </row>
    <row r="83" spans="1:8" ht="15">
      <c r="A83" s="30" t="s">
        <v>4</v>
      </c>
      <c r="B83" s="6"/>
      <c r="C83" s="6"/>
      <c r="D83" s="6"/>
      <c r="E83" s="31"/>
      <c r="F83" s="1"/>
      <c r="G83" s="1"/>
      <c r="H83" s="1"/>
    </row>
    <row r="84" spans="1:8" ht="15">
      <c r="A84" s="26" t="s">
        <v>45</v>
      </c>
      <c r="B84" s="6" t="s">
        <v>8</v>
      </c>
      <c r="C84" s="75">
        <v>50.77</v>
      </c>
      <c r="D84" s="75">
        <v>150</v>
      </c>
      <c r="E84" s="35">
        <f>C84*D84</f>
        <v>7615.5000000000009</v>
      </c>
      <c r="F84" s="1"/>
      <c r="G84" s="1"/>
      <c r="H84" s="1"/>
    </row>
    <row r="85" spans="1:8" ht="45">
      <c r="A85" s="26" t="s">
        <v>58</v>
      </c>
      <c r="B85" s="6" t="s">
        <v>8</v>
      </c>
      <c r="C85" s="75">
        <f>C84</f>
        <v>50.77</v>
      </c>
      <c r="D85" s="78">
        <v>700</v>
      </c>
      <c r="E85" s="35">
        <f>C85*D85</f>
        <v>35539</v>
      </c>
      <c r="F85" s="1"/>
      <c r="G85" s="1"/>
      <c r="H85" s="1"/>
    </row>
    <row r="86" spans="1:8" ht="15">
      <c r="A86" s="50" t="s">
        <v>6</v>
      </c>
      <c r="B86" s="53"/>
      <c r="C86" s="57"/>
      <c r="D86" s="60"/>
      <c r="E86" s="58">
        <f>SUM(E84:E85)</f>
        <v>43154.5</v>
      </c>
      <c r="F86" s="1"/>
      <c r="G86" s="1"/>
      <c r="H86" s="1"/>
    </row>
    <row r="87" spans="1:8" ht="15">
      <c r="A87" s="30" t="s">
        <v>9</v>
      </c>
      <c r="B87" s="6"/>
      <c r="C87" s="15"/>
      <c r="D87" s="14"/>
      <c r="E87" s="35"/>
      <c r="F87" s="1"/>
      <c r="G87" s="1"/>
      <c r="H87" s="1"/>
    </row>
    <row r="88" spans="1:8" ht="15">
      <c r="A88" s="26" t="s">
        <v>14</v>
      </c>
      <c r="B88" s="6" t="s">
        <v>38</v>
      </c>
      <c r="C88" s="15">
        <f>C85*1.07</f>
        <v>54.323900000000009</v>
      </c>
      <c r="D88" s="77">
        <v>38</v>
      </c>
      <c r="E88" s="35">
        <f>C88*D88</f>
        <v>2064.3082000000004</v>
      </c>
      <c r="F88" s="1"/>
      <c r="G88" s="1"/>
      <c r="H88" s="1"/>
    </row>
    <row r="89" spans="1:8" ht="15">
      <c r="A89" s="65" t="s">
        <v>11</v>
      </c>
      <c r="B89" s="66"/>
      <c r="C89" s="70"/>
      <c r="D89" s="72"/>
      <c r="E89" s="71">
        <f>SUM(E88:E88)</f>
        <v>2064.3082000000004</v>
      </c>
      <c r="F89" s="1"/>
      <c r="G89" s="1"/>
      <c r="H89" s="1"/>
    </row>
    <row r="90" spans="1:8" ht="15">
      <c r="A90" s="33" t="s">
        <v>7</v>
      </c>
      <c r="B90" s="18"/>
      <c r="C90" s="13"/>
      <c r="D90" s="22"/>
      <c r="E90" s="36">
        <f>E86+E89</f>
        <v>45218.808199999999</v>
      </c>
      <c r="F90" s="1"/>
      <c r="G90" s="1"/>
      <c r="H90" s="1"/>
    </row>
    <row r="91" spans="1:8" ht="15.75">
      <c r="A91" s="99" t="s">
        <v>51</v>
      </c>
      <c r="B91" s="100"/>
      <c r="C91" s="100"/>
      <c r="D91" s="100"/>
      <c r="E91" s="101"/>
      <c r="F91" s="1"/>
      <c r="G91" s="1"/>
      <c r="H91" s="1"/>
    </row>
    <row r="92" spans="1:8" ht="15">
      <c r="A92" s="30" t="s">
        <v>4</v>
      </c>
      <c r="B92" s="6"/>
      <c r="C92" s="15"/>
      <c r="D92" s="14"/>
      <c r="E92" s="35"/>
      <c r="F92" s="1"/>
      <c r="G92" s="1"/>
      <c r="H92" s="1"/>
    </row>
    <row r="93" spans="1:8" ht="15">
      <c r="A93" s="26" t="s">
        <v>46</v>
      </c>
      <c r="B93" s="6" t="s">
        <v>8</v>
      </c>
      <c r="C93" s="75">
        <f>C84</f>
        <v>50.77</v>
      </c>
      <c r="D93" s="14">
        <v>200</v>
      </c>
      <c r="E93" s="35">
        <f>C93*D93</f>
        <v>10154</v>
      </c>
      <c r="F93" s="1"/>
      <c r="G93" s="1"/>
      <c r="H93" s="1"/>
    </row>
    <row r="94" spans="1:8" ht="15.75">
      <c r="A94" s="50" t="s">
        <v>6</v>
      </c>
      <c r="B94" s="53"/>
      <c r="C94" s="57"/>
      <c r="D94" s="60"/>
      <c r="E94" s="59">
        <f>E93</f>
        <v>10154</v>
      </c>
      <c r="F94" s="1"/>
      <c r="G94" s="1"/>
      <c r="H94" s="1"/>
    </row>
    <row r="95" spans="1:8" ht="15">
      <c r="A95" s="33" t="s">
        <v>7</v>
      </c>
      <c r="B95" s="18"/>
      <c r="C95" s="13"/>
      <c r="D95" s="22"/>
      <c r="E95" s="36">
        <f>E91+E94</f>
        <v>10154</v>
      </c>
      <c r="F95" s="1"/>
      <c r="G95" s="1"/>
      <c r="H95" s="1"/>
    </row>
    <row r="96" spans="1:8" ht="37.5" customHeight="1">
      <c r="A96" s="84" t="s">
        <v>61</v>
      </c>
      <c r="B96" s="85"/>
      <c r="C96" s="85"/>
      <c r="D96" s="85"/>
      <c r="E96" s="86"/>
      <c r="F96" s="1"/>
      <c r="G96" s="1"/>
    </row>
    <row r="97" spans="1:8" ht="15">
      <c r="A97" s="30" t="s">
        <v>4</v>
      </c>
      <c r="B97" s="6"/>
      <c r="C97" s="6"/>
      <c r="D97" s="6"/>
      <c r="E97" s="31"/>
      <c r="F97" s="1"/>
      <c r="G97" s="1"/>
    </row>
    <row r="98" spans="1:8" ht="15">
      <c r="A98" s="26" t="s">
        <v>45</v>
      </c>
      <c r="B98" s="6" t="s">
        <v>8</v>
      </c>
      <c r="C98" s="75">
        <v>37.200000000000003</v>
      </c>
      <c r="D98" s="75">
        <v>150</v>
      </c>
      <c r="E98" s="35">
        <f>C98*D98</f>
        <v>5580</v>
      </c>
      <c r="F98" s="1"/>
      <c r="G98" s="1"/>
    </row>
    <row r="99" spans="1:8" ht="30">
      <c r="A99" s="26" t="s">
        <v>62</v>
      </c>
      <c r="B99" s="6" t="s">
        <v>8</v>
      </c>
      <c r="C99" s="75">
        <f>C98</f>
        <v>37.200000000000003</v>
      </c>
      <c r="D99" s="78">
        <v>800</v>
      </c>
      <c r="E99" s="35">
        <f>C99*D99</f>
        <v>29760.000000000004</v>
      </c>
      <c r="F99" s="1"/>
      <c r="G99" s="1"/>
    </row>
    <row r="100" spans="1:8" ht="15">
      <c r="A100" s="50" t="s">
        <v>6</v>
      </c>
      <c r="B100" s="53"/>
      <c r="C100" s="57"/>
      <c r="D100" s="60"/>
      <c r="E100" s="58">
        <f>SUM(E98:E99)</f>
        <v>35340</v>
      </c>
      <c r="F100" s="1"/>
      <c r="G100" s="1"/>
    </row>
    <row r="101" spans="1:8" ht="15">
      <c r="A101" s="30" t="s">
        <v>9</v>
      </c>
      <c r="B101" s="6"/>
      <c r="C101" s="15"/>
      <c r="D101" s="14"/>
      <c r="E101" s="35"/>
      <c r="F101" s="1"/>
      <c r="G101" s="1"/>
    </row>
    <row r="102" spans="1:8" ht="15">
      <c r="A102" s="26" t="s">
        <v>14</v>
      </c>
      <c r="B102" s="6" t="s">
        <v>38</v>
      </c>
      <c r="C102" s="15">
        <f>C99*1.07</f>
        <v>39.804000000000002</v>
      </c>
      <c r="D102" s="77">
        <v>38</v>
      </c>
      <c r="E102" s="35">
        <f>C102*D102</f>
        <v>1512.5520000000001</v>
      </c>
      <c r="F102" s="1"/>
      <c r="G102" s="1"/>
    </row>
    <row r="103" spans="1:8" ht="15">
      <c r="A103" s="65" t="s">
        <v>11</v>
      </c>
      <c r="B103" s="66"/>
      <c r="C103" s="70"/>
      <c r="D103" s="72"/>
      <c r="E103" s="71">
        <f>SUM(E102:E102)</f>
        <v>1512.5520000000001</v>
      </c>
      <c r="F103" s="1"/>
      <c r="G103" s="1"/>
    </row>
    <row r="104" spans="1:8" ht="15">
      <c r="A104" s="33" t="s">
        <v>7</v>
      </c>
      <c r="B104" s="18"/>
      <c r="C104" s="13"/>
      <c r="D104" s="22"/>
      <c r="E104" s="36">
        <f>E100+E103</f>
        <v>36852.552000000003</v>
      </c>
      <c r="F104" s="1"/>
      <c r="G104" s="1"/>
      <c r="H104" s="1"/>
    </row>
    <row r="105" spans="1:8" ht="30.6" customHeight="1">
      <c r="A105" s="84" t="s">
        <v>64</v>
      </c>
      <c r="B105" s="85"/>
      <c r="C105" s="85"/>
      <c r="D105" s="85"/>
      <c r="E105" s="86"/>
      <c r="F105" s="1"/>
      <c r="G105" s="1"/>
    </row>
    <row r="106" spans="1:8" ht="15">
      <c r="A106" s="30" t="s">
        <v>4</v>
      </c>
      <c r="B106" s="6"/>
      <c r="C106" s="6"/>
      <c r="D106" s="6"/>
      <c r="E106" s="31"/>
      <c r="F106" s="1"/>
      <c r="G106" s="1"/>
    </row>
    <row r="107" spans="1:8" ht="15">
      <c r="A107" s="26" t="s">
        <v>45</v>
      </c>
      <c r="B107" s="6" t="s">
        <v>8</v>
      </c>
      <c r="C107" s="75">
        <v>36.200000000000003</v>
      </c>
      <c r="D107" s="75">
        <v>150</v>
      </c>
      <c r="E107" s="35">
        <f>C107*D107</f>
        <v>5430</v>
      </c>
      <c r="F107" s="1"/>
      <c r="G107" s="1"/>
    </row>
    <row r="108" spans="1:8" ht="45">
      <c r="A108" s="26" t="s">
        <v>63</v>
      </c>
      <c r="B108" s="6" t="s">
        <v>8</v>
      </c>
      <c r="C108" s="75">
        <f>C107</f>
        <v>36.200000000000003</v>
      </c>
      <c r="D108" s="78">
        <v>3000</v>
      </c>
      <c r="E108" s="35">
        <f>C108*D108</f>
        <v>108600.00000000001</v>
      </c>
      <c r="F108" s="1"/>
      <c r="G108" s="1"/>
    </row>
    <row r="109" spans="1:8" ht="15">
      <c r="A109" s="50" t="s">
        <v>6</v>
      </c>
      <c r="B109" s="53"/>
      <c r="C109" s="57"/>
      <c r="D109" s="60"/>
      <c r="E109" s="58">
        <f>SUM(E107:E108)</f>
        <v>114030.00000000001</v>
      </c>
      <c r="F109" s="1"/>
      <c r="G109" s="1"/>
    </row>
    <row r="110" spans="1:8" ht="15">
      <c r="A110" s="30" t="s">
        <v>9</v>
      </c>
      <c r="B110" s="6"/>
      <c r="C110" s="15"/>
      <c r="D110" s="14"/>
      <c r="E110" s="35"/>
      <c r="F110" s="1"/>
      <c r="G110" s="1"/>
    </row>
    <row r="111" spans="1:8" ht="15">
      <c r="A111" s="26" t="s">
        <v>14</v>
      </c>
      <c r="B111" s="6" t="s">
        <v>38</v>
      </c>
      <c r="C111" s="15">
        <f>C108*1.07</f>
        <v>38.734000000000002</v>
      </c>
      <c r="D111" s="77">
        <v>38</v>
      </c>
      <c r="E111" s="35">
        <f>C111*D111</f>
        <v>1471.8920000000001</v>
      </c>
      <c r="F111" s="1"/>
      <c r="G111" s="1"/>
    </row>
    <row r="112" spans="1:8" ht="15">
      <c r="A112" s="65" t="s">
        <v>11</v>
      </c>
      <c r="B112" s="66"/>
      <c r="C112" s="70"/>
      <c r="D112" s="72"/>
      <c r="E112" s="71">
        <f>SUM(E111:E111)</f>
        <v>1471.8920000000001</v>
      </c>
      <c r="F112" s="1"/>
      <c r="G112" s="1"/>
    </row>
    <row r="113" spans="1:8" ht="15">
      <c r="A113" s="33" t="s">
        <v>7</v>
      </c>
      <c r="B113" s="18"/>
      <c r="C113" s="13"/>
      <c r="D113" s="22"/>
      <c r="E113" s="36">
        <f>E109+E112</f>
        <v>115501.89200000002</v>
      </c>
      <c r="F113" s="1"/>
      <c r="G113" s="1"/>
      <c r="H113" s="1"/>
    </row>
    <row r="114" spans="1:8" ht="15.75">
      <c r="A114" s="84" t="s">
        <v>17</v>
      </c>
      <c r="B114" s="85"/>
      <c r="C114" s="85"/>
      <c r="D114" s="85"/>
      <c r="E114" s="86"/>
    </row>
    <row r="115" spans="1:8" ht="15">
      <c r="A115" s="30" t="s">
        <v>4</v>
      </c>
      <c r="B115" s="6"/>
      <c r="C115" s="6"/>
      <c r="D115" s="6"/>
      <c r="E115" s="31"/>
    </row>
    <row r="116" spans="1:8" ht="15">
      <c r="A116" s="26" t="s">
        <v>59</v>
      </c>
      <c r="B116" s="6" t="s">
        <v>16</v>
      </c>
      <c r="C116" s="75">
        <v>3</v>
      </c>
      <c r="D116" s="78">
        <v>2500</v>
      </c>
      <c r="E116" s="35">
        <f>C116*D116</f>
        <v>7500</v>
      </c>
    </row>
    <row r="117" spans="1:8" ht="15">
      <c r="A117" s="26" t="s">
        <v>32</v>
      </c>
      <c r="B117" s="6" t="s">
        <v>34</v>
      </c>
      <c r="C117" s="75">
        <v>1</v>
      </c>
      <c r="D117" s="14">
        <v>20000</v>
      </c>
      <c r="E117" s="35">
        <f>C117*D117</f>
        <v>20000</v>
      </c>
    </row>
    <row r="118" spans="1:8" ht="15">
      <c r="A118" s="50" t="s">
        <v>6</v>
      </c>
      <c r="B118" s="61"/>
      <c r="C118" s="62"/>
      <c r="D118" s="63"/>
      <c r="E118" s="58">
        <f>SUM(E116:E117)</f>
        <v>27500</v>
      </c>
    </row>
    <row r="119" spans="1:8" ht="15">
      <c r="A119" s="37" t="s">
        <v>7</v>
      </c>
      <c r="B119" s="17"/>
      <c r="C119" s="23"/>
      <c r="D119" s="21"/>
      <c r="E119" s="36">
        <f>E118</f>
        <v>27500</v>
      </c>
    </row>
    <row r="120" spans="1:8" ht="4.5" customHeight="1">
      <c r="A120" s="102"/>
      <c r="B120" s="103"/>
      <c r="C120" s="103"/>
      <c r="D120" s="103"/>
      <c r="E120" s="104"/>
    </row>
    <row r="121" spans="1:8" ht="15">
      <c r="A121" s="92" t="s">
        <v>47</v>
      </c>
      <c r="B121" s="93"/>
      <c r="C121" s="93"/>
      <c r="D121" s="93"/>
      <c r="E121" s="58">
        <f>E20+E26+E34+E39+E47+E55+E60+E68+E77+E86+E94+E100+E109+E118</f>
        <v>1119123.7</v>
      </c>
    </row>
    <row r="122" spans="1:8" ht="15">
      <c r="A122" s="94" t="s">
        <v>48</v>
      </c>
      <c r="B122" s="95"/>
      <c r="C122" s="95"/>
      <c r="D122" s="95"/>
      <c r="E122" s="71">
        <f>E29+E42+E50+E71+E80+E89+E103+E112+E63</f>
        <v>337613.48328000004</v>
      </c>
    </row>
    <row r="123" spans="1:8" ht="15">
      <c r="A123" s="38" t="s">
        <v>18</v>
      </c>
      <c r="B123" s="18"/>
      <c r="C123" s="18"/>
      <c r="D123" s="18"/>
      <c r="E123" s="39">
        <f>SUM(E121,E122)</f>
        <v>1456737.18328</v>
      </c>
    </row>
    <row r="124" spans="1:8" ht="30">
      <c r="A124" s="38" t="s">
        <v>33</v>
      </c>
      <c r="B124" s="18"/>
      <c r="C124" s="18"/>
      <c r="D124" s="18"/>
      <c r="E124" s="39">
        <v>20000</v>
      </c>
    </row>
    <row r="125" spans="1:8" ht="30">
      <c r="A125" s="38" t="s">
        <v>19</v>
      </c>
      <c r="B125" s="18"/>
      <c r="C125" s="18"/>
      <c r="D125" s="18"/>
      <c r="E125" s="39">
        <v>15000</v>
      </c>
    </row>
    <row r="126" spans="1:8" ht="24" thickBot="1">
      <c r="A126" s="40" t="s">
        <v>20</v>
      </c>
      <c r="B126" s="41"/>
      <c r="C126" s="41"/>
      <c r="D126" s="42"/>
      <c r="E126" s="43">
        <f>SUM(E123:E125)</f>
        <v>1491737.18328</v>
      </c>
    </row>
    <row r="129" spans="5:5">
      <c r="E129" s="79"/>
    </row>
  </sheetData>
  <mergeCells count="30">
    <mergeCell ref="A114:E114"/>
    <mergeCell ref="A121:D121"/>
    <mergeCell ref="A122:D122"/>
    <mergeCell ref="A73:E73"/>
    <mergeCell ref="A57:E57"/>
    <mergeCell ref="A82:E82"/>
    <mergeCell ref="A96:E96"/>
    <mergeCell ref="A91:E91"/>
    <mergeCell ref="A65:E65"/>
    <mergeCell ref="A105:E105"/>
    <mergeCell ref="A120:E120"/>
    <mergeCell ref="A52:E52"/>
    <mergeCell ref="A36:E36"/>
    <mergeCell ref="A31:E31"/>
    <mergeCell ref="A44:E44"/>
    <mergeCell ref="A11:E11"/>
    <mergeCell ref="A1:E1"/>
    <mergeCell ref="D3:E3"/>
    <mergeCell ref="D4:E4"/>
    <mergeCell ref="A22:E22"/>
    <mergeCell ref="A15:E15"/>
    <mergeCell ref="A14:E14"/>
    <mergeCell ref="D5:E5"/>
    <mergeCell ref="D6:E6"/>
    <mergeCell ref="D7:E7"/>
    <mergeCell ref="A10:E10"/>
    <mergeCell ref="A4:B4"/>
    <mergeCell ref="A5:B5"/>
    <mergeCell ref="A6:B6"/>
    <mergeCell ref="A7:B7"/>
  </mergeCells>
  <pageMargins left="0.7" right="0.7" top="0.75" bottom="0.75" header="0.3" footer="0.3"/>
  <pageSetup paperSize="9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KRD KRD</dc:creator>
  <cp:lastModifiedBy>Пользователь</cp:lastModifiedBy>
  <cp:revision/>
  <cp:lastPrinted>2024-03-17T16:51:39Z</cp:lastPrinted>
  <dcterms:created xsi:type="dcterms:W3CDTF">2024-03-16T18:53:19Z</dcterms:created>
  <dcterms:modified xsi:type="dcterms:W3CDTF">2026-03-06T14:51:18Z</dcterms:modified>
</cp:coreProperties>
</file>