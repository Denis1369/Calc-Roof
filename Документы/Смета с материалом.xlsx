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Моя папка\Личка1\Расчеты_\Для калькулятора\"/>
    </mc:Choice>
  </mc:AlternateContent>
  <xr:revisionPtr revIDLastSave="0" documentId="13_ncr:1_{63ABD02C-4325-4732-8623-5138DF34E9C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" l="1"/>
  <c r="C35" i="1" l="1"/>
  <c r="C31" i="1"/>
  <c r="C25" i="1"/>
  <c r="C49" i="1"/>
  <c r="C48" i="1"/>
  <c r="E126" i="1" l="1"/>
  <c r="E113" i="1"/>
  <c r="E101" i="1"/>
  <c r="E96" i="1"/>
  <c r="E92" i="1"/>
  <c r="E91" i="1"/>
  <c r="E87" i="1"/>
  <c r="E83" i="1"/>
  <c r="E82" i="1"/>
  <c r="E77" i="1"/>
  <c r="E72" i="1"/>
  <c r="E71" i="1"/>
  <c r="E61" i="1"/>
  <c r="E46" i="1"/>
  <c r="E40" i="1"/>
  <c r="E39" i="1"/>
  <c r="E33" i="1"/>
  <c r="E28" i="1"/>
  <c r="E27" i="1"/>
  <c r="E23" i="1"/>
  <c r="E134" i="1"/>
  <c r="E133" i="1"/>
  <c r="E132" i="1"/>
  <c r="E131" i="1"/>
  <c r="E127" i="1"/>
  <c r="E125" i="1"/>
  <c r="E124" i="1"/>
  <c r="E123" i="1"/>
  <c r="E121" i="1"/>
  <c r="E120" i="1"/>
  <c r="E117" i="1"/>
  <c r="E112" i="1"/>
  <c r="E111" i="1"/>
  <c r="E110" i="1"/>
  <c r="E106" i="1"/>
  <c r="E105" i="1"/>
  <c r="E102" i="1"/>
  <c r="E100" i="1"/>
  <c r="E99" i="1"/>
  <c r="E98" i="1"/>
  <c r="E97" i="1"/>
  <c r="E95" i="1"/>
  <c r="E90" i="1"/>
  <c r="E89" i="1"/>
  <c r="E86" i="1"/>
  <c r="E81" i="1"/>
  <c r="E80" i="1"/>
  <c r="E79" i="1"/>
  <c r="E76" i="1"/>
  <c r="E75" i="1"/>
  <c r="E70" i="1"/>
  <c r="E69" i="1"/>
  <c r="E68" i="1"/>
  <c r="E67" i="1"/>
  <c r="E66" i="1"/>
  <c r="E65" i="1"/>
  <c r="E64" i="1"/>
  <c r="E63" i="1"/>
  <c r="E60" i="1"/>
  <c r="E59" i="1"/>
  <c r="E58" i="1"/>
  <c r="E57" i="1"/>
  <c r="E52" i="1"/>
  <c r="E51" i="1"/>
  <c r="E50" i="1"/>
  <c r="E49" i="1"/>
  <c r="E48" i="1"/>
  <c r="E53" i="1" s="1"/>
  <c r="E45" i="1"/>
  <c r="E44" i="1"/>
  <c r="E43" i="1"/>
  <c r="E38" i="1"/>
  <c r="E37" i="1"/>
  <c r="E36" i="1"/>
  <c r="E35" i="1"/>
  <c r="E32" i="1"/>
  <c r="E31" i="1"/>
  <c r="E26" i="1"/>
  <c r="E25" i="1"/>
  <c r="E22" i="1"/>
  <c r="E118" i="1"/>
  <c r="C125" i="1"/>
  <c r="E122" i="1"/>
  <c r="C121" i="1"/>
  <c r="C123" i="1"/>
  <c r="E54" i="1" l="1"/>
  <c r="C124" i="1"/>
  <c r="C68" i="1" l="1"/>
  <c r="C117" i="1" l="1"/>
  <c r="D107" i="1"/>
  <c r="E107" i="1" s="1"/>
  <c r="E108" i="1" s="1"/>
  <c r="C86" i="1"/>
  <c r="C97" i="1" s="1"/>
  <c r="C57" i="1"/>
  <c r="C69" i="1" s="1"/>
  <c r="E114" i="1" l="1"/>
  <c r="E128" i="1"/>
  <c r="C120" i="1"/>
  <c r="C89" i="1"/>
  <c r="C99" i="1" s="1"/>
  <c r="C95" i="1"/>
  <c r="C70" i="1"/>
  <c r="C65" i="1"/>
  <c r="C64" i="1"/>
  <c r="C63" i="1"/>
  <c r="C75" i="1"/>
  <c r="C59" i="1"/>
  <c r="C58" i="1"/>
  <c r="C22" i="1"/>
  <c r="C98" i="1" l="1"/>
  <c r="C81" i="1"/>
  <c r="C79" i="1"/>
  <c r="C66" i="1"/>
  <c r="C51" i="1"/>
  <c r="C50" i="1"/>
  <c r="C38" i="1"/>
  <c r="C36" i="1"/>
  <c r="C37" i="1"/>
  <c r="C76" i="1"/>
  <c r="C107" i="1"/>
  <c r="C106" i="1"/>
  <c r="C110" i="1" s="1"/>
  <c r="C111" i="1" s="1"/>
  <c r="C105" i="1"/>
  <c r="C44" i="1"/>
  <c r="C60" i="1"/>
  <c r="C45" i="1"/>
  <c r="C112" i="1" l="1"/>
  <c r="C80" i="1"/>
  <c r="C43" i="1"/>
  <c r="C32" i="1"/>
  <c r="E129" i="1"/>
  <c r="E135" i="1" s="1"/>
</calcChain>
</file>

<file path=xl/sharedStrings.xml><?xml version="1.0" encoding="utf-8"?>
<sst xmlns="http://schemas.openxmlformats.org/spreadsheetml/2006/main" count="229" uniqueCount="100">
  <si>
    <t>Ед.изм.</t>
  </si>
  <si>
    <t>Кол-во</t>
  </si>
  <si>
    <t>Работы:</t>
  </si>
  <si>
    <t>м2</t>
  </si>
  <si>
    <t>Итого за работы:</t>
  </si>
  <si>
    <t>ИТОГО по Разделу:</t>
  </si>
  <si>
    <t>м/п</t>
  </si>
  <si>
    <t>Итого общая сумма по всем разделам:</t>
  </si>
  <si>
    <t>Согласовано</t>
  </si>
  <si>
    <t>Утверждаю</t>
  </si>
  <si>
    <t>«Подрядчик»</t>
  </si>
  <si>
    <t>«Заказчик»</t>
  </si>
  <si>
    <t>ед</t>
  </si>
  <si>
    <t>Механическое крепление теплоизоляционного слоя</t>
  </si>
  <si>
    <t>Подъемы и механизмы:</t>
  </si>
  <si>
    <t>ИТОГО по Разделам монтажные работы кровля из ПВХ-мембраны:</t>
  </si>
  <si>
    <t>ООО «»</t>
  </si>
  <si>
    <t xml:space="preserve">ИНН / КПП </t>
  </si>
  <si>
    <t>Ген. Директор________________  ()</t>
  </si>
  <si>
    <t>Наименование работ</t>
  </si>
  <si>
    <t>Устройство гидроизоляционного покрытия из ПВХ-мембраны по плоскости</t>
  </si>
  <si>
    <t>Накладные, транспортные, организационные и утилизационные расходы:</t>
  </si>
  <si>
    <t>ИТОГО по Разделам накладные, транспортные, организационные и утилизационные расходы:</t>
  </si>
  <si>
    <t>Устройство прижимной и краевой алюминиевой планки</t>
  </si>
  <si>
    <t>Устройство деформационного шва</t>
  </si>
  <si>
    <t>УСТРОЙСТВО КРОВЕЛЬНОЙ СИСТЕМЫ ИЗ ПВХ-МЕМБРАНЫ</t>
  </si>
  <si>
    <t>ООО «СК-ЮГ»</t>
  </si>
  <si>
    <t>ИНН / КПП 2312330110/ 231201001</t>
  </si>
  <si>
    <t>Ген. Директор________________  (Панюков А.А.)</t>
  </si>
  <si>
    <t>Приложение №____ к Договору подряда № _____ от _________ г.</t>
  </si>
  <si>
    <t>СМЕТА №___</t>
  </si>
  <si>
    <t>по Договору подряда № __________ от ___________ г.</t>
  </si>
  <si>
    <t>Цена за ед. без НДС</t>
  </si>
  <si>
    <t>Сумма без НДС</t>
  </si>
  <si>
    <t xml:space="preserve">Устройство пароизоляционного слоя </t>
  </si>
  <si>
    <t>Устройство пароизоляционного слоя из пароизоляционной пленки</t>
  </si>
  <si>
    <t>Монтаж гидроизоляционного покрытия из ПВХ мембраны шириной 1 м, с продольным нахлестом не менее 120 мм и поперечным не менее 200 мм по профлисту</t>
  </si>
  <si>
    <t>Механическое крепление гидроизоляционного слоя</t>
  </si>
  <si>
    <t>Устройство карнизного свеса и его гидроизоляция</t>
  </si>
  <si>
    <t>Устройство разделительного слоя из стеклохолста</t>
  </si>
  <si>
    <t>Устройство комбинированного утеплителя (Минераловатный утеплитель 100 мм + экструдированный пенополистирол - 50 мм)
2 слоя с разбежкой швов, с общей толщиной 150 мм</t>
  </si>
  <si>
    <t>Устройство комбинированного теплоизоляционного слоя из МИ + ПИР (в два слоя), общей толщиной 150 мм</t>
  </si>
  <si>
    <t>Монтаж бруса, 100*100</t>
  </si>
  <si>
    <t>Монтаж ПВХ металла</t>
  </si>
  <si>
    <t>Монтаж металлического водосточного желоба</t>
  </si>
  <si>
    <t>Устройство примыкания к карнизному свесу</t>
  </si>
  <si>
    <t>Устройство гидроизоляции примыканий к парапетам из ПВХ-мембраны на высоту не более 450 мм, с окончанием примыкания через кревую рейку</t>
  </si>
  <si>
    <t>Устройство L-образного профиля</t>
  </si>
  <si>
    <t>Устройство заполнения гофр профлиста НГ утеплителем на длину 250 мм (на две продольной волны или 250 мм в каждую волну по поперечным волнам)</t>
  </si>
  <si>
    <t>Устройство заполнения гофр профлиста НГ утеплителем на ширину 250 мм и монтаж  L-образного профиля вдоль парапета</t>
  </si>
  <si>
    <t>Устройство заполнения гофр профлиста НГ утеплителем на длину 250 мм</t>
  </si>
  <si>
    <t>Устройство фасонного элемента</t>
  </si>
  <si>
    <t>Устройство гидроизоляционного слоя</t>
  </si>
  <si>
    <t>Устройство вертикальной водосточной трубы</t>
  </si>
  <si>
    <t>Монтаж вертикальной водосточной трубы, 3,7 м</t>
  </si>
  <si>
    <t>Организационные и транспортные расходы:</t>
  </si>
  <si>
    <t xml:space="preserve">Вывоз мусора </t>
  </si>
  <si>
    <t>Материалы:</t>
  </si>
  <si>
    <t>шт</t>
  </si>
  <si>
    <t>Итого за материалы:</t>
  </si>
  <si>
    <t>Пароизоляционная пленка ТехноНИКОЛЬ</t>
  </si>
  <si>
    <t>Двусторонний скотч</t>
  </si>
  <si>
    <t>Минераловатный утеплитель 100 мм</t>
  </si>
  <si>
    <t>Экструдированный пенополистирол - 50 мм</t>
  </si>
  <si>
    <t>Телескопический крепеж TERMOCLIP 1, 130 мм</t>
  </si>
  <si>
    <t>Саморез сверлоконечный ТехноНИКОЛЬ 4,8х60 мм</t>
  </si>
  <si>
    <t>Количество увеличится учетом кратности упаковки</t>
  </si>
  <si>
    <t>Стеклохолст</t>
  </si>
  <si>
    <t>ПВХ мембрана, толщиной 1,5 мм.</t>
  </si>
  <si>
    <t>Брус, 100*100</t>
  </si>
  <si>
    <t>Кровельный саморез 6,3*130 мм</t>
  </si>
  <si>
    <t>Круглый тарельчатый держатель</t>
  </si>
  <si>
    <t>Водосточный желоб</t>
  </si>
  <si>
    <t>Металлический костыль</t>
  </si>
  <si>
    <t>Оцинкованные анодированные саморезы размером 5×40 мм</t>
  </si>
  <si>
    <t>ПВХ металл, шириной 150 мм</t>
  </si>
  <si>
    <t>мп</t>
  </si>
  <si>
    <t>Саморезы по дереву диаметром 3–4 мм длиной 35 мм</t>
  </si>
  <si>
    <t>Саморез кровельный 5,5*19 мм</t>
  </si>
  <si>
    <t>м3</t>
  </si>
  <si>
    <t xml:space="preserve">Мин. плита Технолайт Экстра 1200х600х100мм </t>
  </si>
  <si>
    <t>Очиститель для ПВХ мембраны, 3 л.</t>
  </si>
  <si>
    <t>Армированная ПВХ мембрана Logicroof V-RP (или аналог) толщиной 1,5 мм</t>
  </si>
  <si>
    <t xml:space="preserve">Неармированная ПВХ мембрана V-SR толщиной 1,5 мм </t>
  </si>
  <si>
    <t>рул.</t>
  </si>
  <si>
    <t>Прижимная кровельная планка алюминиевая 30*2000мм</t>
  </si>
  <si>
    <t>Краевая кровельная планка алюминиевая 30*2000мм</t>
  </si>
  <si>
    <t>ПУ герметик</t>
  </si>
  <si>
    <t>Крепеж кровельный ТехноНИКОЛЬ (саморез 5,5*35)</t>
  </si>
  <si>
    <t>Монтаж прижимной и краевой кровельной планки</t>
  </si>
  <si>
    <t>Фасонное изделие из оц. стали толщиной 0,5 мм</t>
  </si>
  <si>
    <t>Изделие (L-образный профиль) из оц. стали толщиной 0,5 мм</t>
  </si>
  <si>
    <t xml:space="preserve">Отводы  для водосточного желоба </t>
  </si>
  <si>
    <t>Сливное колено</t>
  </si>
  <si>
    <t>Хомут для крепления водосточной трубы к стене</t>
  </si>
  <si>
    <t>Крепежный элемент для хомута (крепление к стене)</t>
  </si>
  <si>
    <t>ИТОГО по Разделам материалы:</t>
  </si>
  <si>
    <t>Наименование объекта: «_____________»</t>
  </si>
  <si>
    <t>Адрес объекта: ___________________</t>
  </si>
  <si>
    <t>Данные крыши: 
Суммарная площадь кровель = ________ м2;
L карнизного свеса = ________ пог.м.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</si>
</sst>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4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i/>
      <sz val="16"/>
      <color theme="1"/>
      <name val="Arial"/>
      <family val="2"/>
      <charset val="204"/>
    </font>
    <font>
      <sz val="16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sz val="12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/>
    <xf numFmtId="0" fontId="4" fillId="0" borderId="8" xfId="0" applyFont="1" applyBorder="1" applyAlignment="1">
      <alignment wrapText="1"/>
    </xf>
    <xf numFmtId="0" fontId="4" fillId="4" borderId="8" xfId="0" applyFont="1" applyFill="1" applyBorder="1" applyAlignment="1">
      <alignment wrapText="1"/>
    </xf>
    <xf numFmtId="2" fontId="4" fillId="4" borderId="8" xfId="0" applyNumberFormat="1" applyFont="1" applyFill="1" applyBorder="1" applyAlignment="1">
      <alignment horizontal="right" wrapText="1"/>
    </xf>
    <xf numFmtId="164" fontId="4" fillId="4" borderId="8" xfId="0" applyNumberFormat="1" applyFont="1" applyFill="1" applyBorder="1" applyAlignment="1">
      <alignment horizontal="center" wrapText="1"/>
    </xf>
    <xf numFmtId="0" fontId="4" fillId="5" borderId="8" xfId="0" applyFont="1" applyFill="1" applyBorder="1" applyAlignment="1">
      <alignment wrapText="1"/>
    </xf>
    <xf numFmtId="164" fontId="4" fillId="0" borderId="8" xfId="0" applyNumberFormat="1" applyFont="1" applyBorder="1" applyAlignment="1">
      <alignment wrapText="1"/>
    </xf>
    <xf numFmtId="2" fontId="4" fillId="4" borderId="8" xfId="0" applyNumberFormat="1" applyFont="1" applyFill="1" applyBorder="1" applyAlignment="1">
      <alignment wrapText="1"/>
    </xf>
    <xf numFmtId="164" fontId="7" fillId="4" borderId="8" xfId="0" applyNumberFormat="1" applyFont="1" applyFill="1" applyBorder="1" applyAlignment="1">
      <alignment wrapText="1"/>
    </xf>
    <xf numFmtId="164" fontId="4" fillId="4" borderId="8" xfId="0" applyNumberFormat="1" applyFont="1" applyFill="1" applyBorder="1" applyAlignment="1">
      <alignment wrapText="1"/>
    </xf>
    <xf numFmtId="164" fontId="4" fillId="5" borderId="8" xfId="0" applyNumberFormat="1" applyFont="1" applyFill="1" applyBorder="1" applyAlignment="1">
      <alignment wrapText="1"/>
    </xf>
    <xf numFmtId="0" fontId="7" fillId="4" borderId="8" xfId="0" applyFont="1" applyFill="1" applyBorder="1" applyAlignment="1">
      <alignment wrapText="1"/>
    </xf>
    <xf numFmtId="2" fontId="7" fillId="4" borderId="8" xfId="0" applyNumberFormat="1" applyFont="1" applyFill="1" applyBorder="1" applyAlignment="1">
      <alignment wrapText="1"/>
    </xf>
    <xf numFmtId="0" fontId="4" fillId="0" borderId="10" xfId="0" applyFont="1" applyBorder="1" applyAlignment="1">
      <alignment wrapText="1"/>
    </xf>
    <xf numFmtId="0" fontId="7" fillId="4" borderId="10" xfId="0" applyFont="1" applyFill="1" applyBorder="1" applyAlignment="1">
      <alignment horizontal="right" wrapText="1"/>
    </xf>
    <xf numFmtId="0" fontId="6" fillId="0" borderId="10" xfId="0" applyFont="1" applyBorder="1" applyAlignment="1">
      <alignment horizontal="center" wrapText="1"/>
    </xf>
    <xf numFmtId="164" fontId="4" fillId="0" borderId="11" xfId="0" applyNumberFormat="1" applyFont="1" applyBorder="1" applyAlignment="1">
      <alignment horizontal="right" wrapText="1"/>
    </xf>
    <xf numFmtId="0" fontId="4" fillId="5" borderId="10" xfId="0" applyFont="1" applyFill="1" applyBorder="1" applyAlignment="1">
      <alignment wrapText="1"/>
    </xf>
    <xf numFmtId="164" fontId="4" fillId="0" borderId="11" xfId="0" applyNumberFormat="1" applyFont="1" applyBorder="1" applyAlignment="1">
      <alignment wrapText="1"/>
    </xf>
    <xf numFmtId="164" fontId="4" fillId="5" borderId="11" xfId="0" applyNumberFormat="1" applyFont="1" applyFill="1" applyBorder="1" applyAlignment="1">
      <alignment wrapText="1"/>
    </xf>
    <xf numFmtId="0" fontId="7" fillId="2" borderId="12" xfId="0" applyFont="1" applyFill="1" applyBorder="1" applyAlignment="1">
      <alignment horizontal="left" wrapText="1"/>
    </xf>
    <xf numFmtId="0" fontId="7" fillId="2" borderId="13" xfId="0" applyFont="1" applyFill="1" applyBorder="1" applyAlignment="1">
      <alignment wrapText="1"/>
    </xf>
    <xf numFmtId="2" fontId="7" fillId="2" borderId="13" xfId="0" applyNumberFormat="1" applyFont="1" applyFill="1" applyBorder="1" applyAlignment="1">
      <alignment wrapText="1"/>
    </xf>
    <xf numFmtId="0" fontId="6" fillId="0" borderId="15" xfId="0" applyFont="1" applyBorder="1" applyAlignment="1">
      <alignment horizontal="center" wrapText="1"/>
    </xf>
    <xf numFmtId="0" fontId="4" fillId="0" borderId="16" xfId="0" applyFont="1" applyBorder="1" applyAlignment="1">
      <alignment wrapText="1"/>
    </xf>
    <xf numFmtId="164" fontId="4" fillId="0" borderId="16" xfId="0" applyNumberFormat="1" applyFont="1" applyBorder="1" applyAlignment="1">
      <alignment horizontal="center" wrapText="1"/>
    </xf>
    <xf numFmtId="164" fontId="4" fillId="0" borderId="17" xfId="0" applyNumberFormat="1" applyFont="1" applyBorder="1" applyAlignment="1">
      <alignment horizontal="right" wrapText="1"/>
    </xf>
    <xf numFmtId="0" fontId="7" fillId="2" borderId="18" xfId="0" applyFont="1" applyFill="1" applyBorder="1" applyAlignment="1">
      <alignment wrapText="1"/>
    </xf>
    <xf numFmtId="0" fontId="4" fillId="2" borderId="19" xfId="0" applyFont="1" applyFill="1" applyBorder="1" applyAlignment="1">
      <alignment wrapText="1"/>
    </xf>
    <xf numFmtId="2" fontId="4" fillId="2" borderId="19" xfId="0" applyNumberFormat="1" applyFont="1" applyFill="1" applyBorder="1" applyAlignment="1">
      <alignment horizontal="center" wrapText="1"/>
    </xf>
    <xf numFmtId="2" fontId="4" fillId="0" borderId="16" xfId="0" applyNumberFormat="1" applyFont="1" applyBorder="1" applyAlignment="1">
      <alignment horizontal="center" wrapText="1"/>
    </xf>
    <xf numFmtId="0" fontId="4" fillId="0" borderId="17" xfId="0" applyFont="1" applyBorder="1" applyAlignment="1">
      <alignment wrapText="1"/>
    </xf>
    <xf numFmtId="0" fontId="7" fillId="2" borderId="19" xfId="0" applyFont="1" applyFill="1" applyBorder="1" applyAlignment="1">
      <alignment wrapText="1"/>
    </xf>
    <xf numFmtId="164" fontId="10" fillId="6" borderId="9" xfId="0" applyNumberFormat="1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wrapText="1"/>
    </xf>
    <xf numFmtId="164" fontId="4" fillId="5" borderId="19" xfId="0" applyNumberFormat="1" applyFont="1" applyFill="1" applyBorder="1" applyAlignment="1">
      <alignment wrapText="1"/>
    </xf>
    <xf numFmtId="0" fontId="4" fillId="5" borderId="18" xfId="0" applyFont="1" applyFill="1" applyBorder="1" applyAlignment="1">
      <alignment wrapText="1"/>
    </xf>
    <xf numFmtId="4" fontId="4" fillId="5" borderId="8" xfId="0" applyNumberFormat="1" applyFont="1" applyFill="1" applyBorder="1" applyAlignment="1">
      <alignment horizontal="right" wrapText="1"/>
    </xf>
    <xf numFmtId="4" fontId="4" fillId="5" borderId="8" xfId="0" applyNumberFormat="1" applyFont="1" applyFill="1" applyBorder="1" applyAlignment="1">
      <alignment wrapText="1"/>
    </xf>
    <xf numFmtId="4" fontId="4" fillId="5" borderId="19" xfId="0" applyNumberFormat="1" applyFont="1" applyFill="1" applyBorder="1" applyAlignment="1">
      <alignment wrapText="1"/>
    </xf>
    <xf numFmtId="164" fontId="4" fillId="5" borderId="20" xfId="0" applyNumberFormat="1" applyFont="1" applyFill="1" applyBorder="1" applyAlignment="1">
      <alignment wrapText="1"/>
    </xf>
    <xf numFmtId="164" fontId="9" fillId="2" borderId="9" xfId="0" applyNumberFormat="1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right" wrapText="1"/>
    </xf>
    <xf numFmtId="0" fontId="4" fillId="4" borderId="19" xfId="0" applyFont="1" applyFill="1" applyBorder="1" applyAlignment="1">
      <alignment wrapText="1"/>
    </xf>
    <xf numFmtId="164" fontId="4" fillId="4" borderId="19" xfId="0" applyNumberFormat="1" applyFont="1" applyFill="1" applyBorder="1" applyAlignment="1">
      <alignment wrapText="1"/>
    </xf>
    <xf numFmtId="2" fontId="4" fillId="0" borderId="8" xfId="0" applyNumberFormat="1" applyFont="1" applyBorder="1" applyAlignment="1">
      <alignment wrapText="1"/>
    </xf>
    <xf numFmtId="4" fontId="4" fillId="4" borderId="19" xfId="0" applyNumberFormat="1" applyFont="1" applyFill="1" applyBorder="1" applyAlignment="1">
      <alignment wrapText="1"/>
    </xf>
    <xf numFmtId="2" fontId="4" fillId="5" borderId="8" xfId="0" applyNumberFormat="1" applyFont="1" applyFill="1" applyBorder="1" applyAlignment="1">
      <alignment wrapText="1"/>
    </xf>
    <xf numFmtId="0" fontId="6" fillId="0" borderId="21" xfId="0" applyFont="1" applyBorder="1" applyAlignment="1">
      <alignment horizontal="center" wrapText="1"/>
    </xf>
    <xf numFmtId="0" fontId="4" fillId="0" borderId="22" xfId="0" applyFont="1" applyBorder="1" applyAlignment="1">
      <alignment wrapText="1"/>
    </xf>
    <xf numFmtId="0" fontId="4" fillId="0" borderId="23" xfId="0" applyFont="1" applyBorder="1" applyAlignment="1">
      <alignment wrapText="1"/>
    </xf>
    <xf numFmtId="0" fontId="6" fillId="5" borderId="10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wrapText="1"/>
    </xf>
    <xf numFmtId="164" fontId="7" fillId="4" borderId="20" xfId="0" applyNumberFormat="1" applyFont="1" applyFill="1" applyBorder="1" applyAlignment="1">
      <alignment horizontal="right" wrapText="1"/>
    </xf>
    <xf numFmtId="164" fontId="4" fillId="0" borderId="8" xfId="0" applyNumberFormat="1" applyFont="1" applyBorder="1" applyAlignment="1">
      <alignment horizontal="right" wrapText="1"/>
    </xf>
    <xf numFmtId="0" fontId="8" fillId="6" borderId="8" xfId="0" applyFont="1" applyFill="1" applyBorder="1" applyAlignment="1">
      <alignment wrapText="1"/>
    </xf>
    <xf numFmtId="4" fontId="8" fillId="6" borderId="8" xfId="0" applyNumberFormat="1" applyFont="1" applyFill="1" applyBorder="1" applyAlignment="1">
      <alignment wrapText="1"/>
    </xf>
    <xf numFmtId="164" fontId="8" fillId="6" borderId="8" xfId="0" applyNumberFormat="1" applyFont="1" applyFill="1" applyBorder="1" applyAlignment="1">
      <alignment wrapText="1"/>
    </xf>
    <xf numFmtId="0" fontId="8" fillId="6" borderId="21" xfId="0" applyFont="1" applyFill="1" applyBorder="1" applyAlignment="1">
      <alignment wrapText="1"/>
    </xf>
    <xf numFmtId="0" fontId="8" fillId="6" borderId="22" xfId="0" applyFont="1" applyFill="1" applyBorder="1" applyAlignment="1">
      <alignment wrapText="1"/>
    </xf>
    <xf numFmtId="4" fontId="8" fillId="6" borderId="22" xfId="0" applyNumberFormat="1" applyFont="1" applyFill="1" applyBorder="1" applyAlignment="1">
      <alignment wrapText="1"/>
    </xf>
    <xf numFmtId="164" fontId="8" fillId="6" borderId="22" xfId="0" applyNumberFormat="1" applyFont="1" applyFill="1" applyBorder="1" applyAlignment="1">
      <alignment wrapText="1"/>
    </xf>
    <xf numFmtId="164" fontId="8" fillId="6" borderId="23" xfId="0" applyNumberFormat="1" applyFont="1" applyFill="1" applyBorder="1" applyAlignment="1">
      <alignment wrapText="1"/>
    </xf>
    <xf numFmtId="0" fontId="8" fillId="6" borderId="10" xfId="0" applyFont="1" applyFill="1" applyBorder="1" applyAlignment="1">
      <alignment wrapText="1"/>
    </xf>
    <xf numFmtId="164" fontId="8" fillId="6" borderId="11" xfId="0" applyNumberFormat="1" applyFont="1" applyFill="1" applyBorder="1" applyAlignment="1">
      <alignment wrapText="1"/>
    </xf>
    <xf numFmtId="0" fontId="8" fillId="6" borderId="12" xfId="0" applyFont="1" applyFill="1" applyBorder="1" applyAlignment="1">
      <alignment wrapText="1"/>
    </xf>
    <xf numFmtId="0" fontId="8" fillId="6" borderId="13" xfId="0" applyFont="1" applyFill="1" applyBorder="1" applyAlignment="1">
      <alignment wrapText="1"/>
    </xf>
    <xf numFmtId="4" fontId="8" fillId="6" borderId="13" xfId="0" applyNumberFormat="1" applyFont="1" applyFill="1" applyBorder="1" applyAlignment="1">
      <alignment wrapText="1"/>
    </xf>
    <xf numFmtId="164" fontId="8" fillId="6" borderId="13" xfId="0" applyNumberFormat="1" applyFont="1" applyFill="1" applyBorder="1" applyAlignment="1">
      <alignment wrapText="1"/>
    </xf>
    <xf numFmtId="164" fontId="8" fillId="6" borderId="14" xfId="0" applyNumberFormat="1" applyFont="1" applyFill="1" applyBorder="1" applyAlignment="1">
      <alignment wrapText="1"/>
    </xf>
    <xf numFmtId="0" fontId="6" fillId="5" borderId="29" xfId="0" applyFont="1" applyFill="1" applyBorder="1" applyAlignment="1">
      <alignment horizontal="center" wrapText="1"/>
    </xf>
    <xf numFmtId="0" fontId="4" fillId="5" borderId="30" xfId="0" applyFont="1" applyFill="1" applyBorder="1" applyAlignment="1">
      <alignment wrapText="1"/>
    </xf>
    <xf numFmtId="4" fontId="4" fillId="5" borderId="30" xfId="0" applyNumberFormat="1" applyFont="1" applyFill="1" applyBorder="1" applyAlignment="1">
      <alignment wrapText="1"/>
    </xf>
    <xf numFmtId="164" fontId="4" fillId="5" borderId="30" xfId="0" applyNumberFormat="1" applyFont="1" applyFill="1" applyBorder="1" applyAlignment="1">
      <alignment wrapText="1"/>
    </xf>
    <xf numFmtId="164" fontId="4" fillId="5" borderId="31" xfId="0" applyNumberFormat="1" applyFont="1" applyFill="1" applyBorder="1" applyAlignment="1">
      <alignment wrapText="1"/>
    </xf>
    <xf numFmtId="0" fontId="5" fillId="3" borderId="3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164" fontId="4" fillId="2" borderId="35" xfId="0" applyNumberFormat="1" applyFont="1" applyFill="1" applyBorder="1" applyAlignment="1">
      <alignment horizontal="center" wrapText="1"/>
    </xf>
    <xf numFmtId="0" fontId="7" fillId="2" borderId="35" xfId="0" applyFont="1" applyFill="1" applyBorder="1" applyAlignment="1">
      <alignment wrapText="1"/>
    </xf>
    <xf numFmtId="164" fontId="7" fillId="2" borderId="36" xfId="0" applyNumberFormat="1" applyFont="1" applyFill="1" applyBorder="1" applyAlignment="1">
      <alignment wrapText="1"/>
    </xf>
    <xf numFmtId="164" fontId="10" fillId="4" borderId="37" xfId="0" applyNumberFormat="1" applyFont="1" applyFill="1" applyBorder="1" applyAlignment="1">
      <alignment horizontal="center" vertical="center" wrapText="1"/>
    </xf>
    <xf numFmtId="164" fontId="7" fillId="2" borderId="9" xfId="0" applyNumberFormat="1" applyFont="1" applyFill="1" applyBorder="1" applyAlignment="1">
      <alignment horizontal="right" wrapText="1"/>
    </xf>
    <xf numFmtId="164" fontId="0" fillId="0" borderId="0" xfId="0" applyNumberFormat="1"/>
    <xf numFmtId="2" fontId="4" fillId="0" borderId="8" xfId="0" applyNumberFormat="1" applyFont="1" applyBorder="1" applyAlignment="1">
      <alignment horizontal="right" wrapText="1"/>
    </xf>
    <xf numFmtId="0" fontId="4" fillId="0" borderId="38" xfId="0" applyFont="1" applyBorder="1" applyAlignment="1">
      <alignment wrapText="1"/>
    </xf>
    <xf numFmtId="0" fontId="4" fillId="0" borderId="39" xfId="0" applyFont="1" applyBorder="1" applyAlignment="1">
      <alignment wrapText="1"/>
    </xf>
    <xf numFmtId="2" fontId="4" fillId="5" borderId="39" xfId="0" applyNumberFormat="1" applyFont="1" applyFill="1" applyBorder="1" applyAlignment="1">
      <alignment horizontal="right" wrapText="1"/>
    </xf>
    <xf numFmtId="164" fontId="4" fillId="0" borderId="39" xfId="0" applyNumberFormat="1" applyFont="1" applyBorder="1" applyAlignment="1">
      <alignment horizontal="right" wrapText="1"/>
    </xf>
    <xf numFmtId="0" fontId="7" fillId="7" borderId="10" xfId="0" applyFont="1" applyFill="1" applyBorder="1" applyAlignment="1">
      <alignment horizontal="right" wrapText="1"/>
    </xf>
    <xf numFmtId="0" fontId="4" fillId="7" borderId="8" xfId="0" applyFont="1" applyFill="1" applyBorder="1" applyAlignment="1">
      <alignment wrapText="1"/>
    </xf>
    <xf numFmtId="2" fontId="4" fillId="7" borderId="8" xfId="0" applyNumberFormat="1" applyFont="1" applyFill="1" applyBorder="1" applyAlignment="1">
      <alignment horizontal="center" wrapText="1"/>
    </xf>
    <xf numFmtId="164" fontId="4" fillId="7" borderId="8" xfId="0" applyNumberFormat="1" applyFont="1" applyFill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164" fontId="4" fillId="0" borderId="22" xfId="0" applyNumberFormat="1" applyFont="1" applyBorder="1" applyAlignment="1">
      <alignment horizontal="center" wrapText="1"/>
    </xf>
    <xf numFmtId="164" fontId="4" fillId="0" borderId="23" xfId="0" applyNumberFormat="1" applyFont="1" applyBorder="1" applyAlignment="1">
      <alignment horizontal="right" wrapText="1"/>
    </xf>
    <xf numFmtId="1" fontId="4" fillId="5" borderId="39" xfId="0" applyNumberFormat="1" applyFont="1" applyFill="1" applyBorder="1" applyAlignment="1">
      <alignment horizontal="right" wrapText="1"/>
    </xf>
    <xf numFmtId="164" fontId="7" fillId="7" borderId="9" xfId="0" applyNumberFormat="1" applyFont="1" applyFill="1" applyBorder="1" applyAlignment="1">
      <alignment horizontal="right" wrapText="1"/>
    </xf>
    <xf numFmtId="0" fontId="4" fillId="2" borderId="13" xfId="0" applyFont="1" applyFill="1" applyBorder="1" applyAlignment="1">
      <alignment wrapText="1"/>
    </xf>
    <xf numFmtId="0" fontId="4" fillId="2" borderId="36" xfId="0" applyFont="1" applyFill="1" applyBorder="1" applyAlignment="1">
      <alignment wrapText="1"/>
    </xf>
    <xf numFmtId="0" fontId="4" fillId="5" borderId="8" xfId="0" applyFont="1" applyFill="1" applyBorder="1"/>
    <xf numFmtId="4" fontId="13" fillId="5" borderId="8" xfId="0" applyNumberFormat="1" applyFont="1" applyFill="1" applyBorder="1" applyAlignment="1">
      <alignment horizontal="right"/>
    </xf>
    <xf numFmtId="0" fontId="4" fillId="5" borderId="10" xfId="0" applyFont="1" applyFill="1" applyBorder="1"/>
    <xf numFmtId="0" fontId="4" fillId="0" borderId="39" xfId="0" applyFont="1" applyBorder="1"/>
    <xf numFmtId="2" fontId="4" fillId="5" borderId="39" xfId="0" applyNumberFormat="1" applyFont="1" applyFill="1" applyBorder="1" applyAlignment="1">
      <alignment horizontal="right"/>
    </xf>
    <xf numFmtId="164" fontId="3" fillId="0" borderId="8" xfId="0" applyNumberFormat="1" applyFont="1" applyBorder="1"/>
    <xf numFmtId="0" fontId="4" fillId="5" borderId="38" xfId="0" applyFont="1" applyFill="1" applyBorder="1" applyAlignment="1">
      <alignment wrapText="1"/>
    </xf>
    <xf numFmtId="0" fontId="4" fillId="5" borderId="39" xfId="0" applyFont="1" applyFill="1" applyBorder="1"/>
    <xf numFmtId="164" fontId="7" fillId="2" borderId="43" xfId="0" applyNumberFormat="1" applyFont="1" applyFill="1" applyBorder="1" applyAlignment="1">
      <alignment horizontal="right" wrapText="1"/>
    </xf>
    <xf numFmtId="0" fontId="7" fillId="2" borderId="36" xfId="0" applyFont="1" applyFill="1" applyBorder="1" applyAlignment="1">
      <alignment wrapText="1"/>
    </xf>
    <xf numFmtId="164" fontId="10" fillId="7" borderId="37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left" vertical="center" wrapText="1"/>
    </xf>
    <xf numFmtId="0" fontId="10" fillId="6" borderId="6" xfId="0" applyFont="1" applyFill="1" applyBorder="1" applyAlignment="1">
      <alignment horizontal="left" vertical="center" wrapText="1"/>
    </xf>
    <xf numFmtId="0" fontId="10" fillId="6" borderId="7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5" fillId="0" borderId="42" xfId="0" applyFont="1" applyBorder="1" applyAlignment="1">
      <alignment horizontal="left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12" fillId="3" borderId="26" xfId="0" applyFont="1" applyFill="1" applyBorder="1" applyAlignment="1">
      <alignment horizontal="center" vertical="center"/>
    </xf>
    <xf numFmtId="0" fontId="12" fillId="3" borderId="27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left" vertical="center" wrapText="1"/>
    </xf>
    <xf numFmtId="0" fontId="5" fillId="5" borderId="22" xfId="0" applyFont="1" applyFill="1" applyBorder="1" applyAlignment="1">
      <alignment horizontal="left" vertical="center" wrapText="1"/>
    </xf>
    <xf numFmtId="0" fontId="5" fillId="5" borderId="23" xfId="0" applyFont="1" applyFill="1" applyBorder="1" applyAlignment="1">
      <alignment horizontal="left" vertical="center" wrapText="1"/>
    </xf>
    <xf numFmtId="0" fontId="10" fillId="7" borderId="5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horizontal="left" vertical="center" wrapText="1"/>
    </xf>
    <xf numFmtId="0" fontId="10" fillId="7" borderId="7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8"/>
  <sheetViews>
    <sheetView tabSelected="1" topLeftCell="A115" zoomScale="115" zoomScaleNormal="115" workbookViewId="0">
      <selection activeCell="G25" sqref="G25:G27"/>
    </sheetView>
  </sheetViews>
  <sheetFormatPr defaultRowHeight="14.25"/>
  <cols>
    <col min="1" max="1" width="61.875" customWidth="1"/>
    <col min="2" max="2" width="10.125" customWidth="1"/>
    <col min="3" max="3" width="11.625" customWidth="1"/>
    <col min="4" max="4" width="18.75" customWidth="1"/>
    <col min="5" max="5" width="25" customWidth="1"/>
    <col min="6" max="6" width="2.625" customWidth="1"/>
  </cols>
  <sheetData>
    <row r="1" spans="1:5">
      <c r="A1" s="120" t="s">
        <v>29</v>
      </c>
      <c r="B1" s="120"/>
      <c r="C1" s="120"/>
      <c r="D1" s="120"/>
      <c r="E1" s="120"/>
    </row>
    <row r="2" spans="1:5">
      <c r="A2" s="4"/>
      <c r="B2" s="4"/>
      <c r="C2" s="4"/>
      <c r="D2" s="4"/>
      <c r="E2" s="4"/>
    </row>
    <row r="3" spans="1:5">
      <c r="A3" s="3" t="s">
        <v>8</v>
      </c>
      <c r="B3" s="2"/>
      <c r="C3" s="5"/>
      <c r="D3" s="121" t="s">
        <v>9</v>
      </c>
      <c r="E3" s="121"/>
    </row>
    <row r="4" spans="1:5">
      <c r="A4" s="3" t="s">
        <v>10</v>
      </c>
      <c r="B4" s="2"/>
      <c r="C4" s="5"/>
      <c r="D4" s="121" t="s">
        <v>11</v>
      </c>
      <c r="E4" s="121"/>
    </row>
    <row r="5" spans="1:5">
      <c r="A5" s="3" t="s">
        <v>26</v>
      </c>
      <c r="B5" s="2"/>
      <c r="C5" s="5"/>
      <c r="D5" s="121" t="s">
        <v>16</v>
      </c>
      <c r="E5" s="121"/>
    </row>
    <row r="6" spans="1:5">
      <c r="A6" s="3" t="s">
        <v>27</v>
      </c>
      <c r="B6" s="2"/>
      <c r="C6" s="5"/>
      <c r="D6" s="144" t="s">
        <v>17</v>
      </c>
      <c r="E6" s="144"/>
    </row>
    <row r="7" spans="1:5">
      <c r="A7" s="3" t="s">
        <v>28</v>
      </c>
      <c r="B7" s="2"/>
      <c r="C7" s="5"/>
      <c r="D7" s="121" t="s">
        <v>18</v>
      </c>
      <c r="E7" s="121"/>
    </row>
    <row r="8" spans="1:5">
      <c r="A8" s="5"/>
      <c r="B8" s="5"/>
      <c r="C8" s="5"/>
      <c r="D8" s="5"/>
      <c r="E8" s="5"/>
    </row>
    <row r="9" spans="1:5">
      <c r="A9" s="5"/>
      <c r="B9" s="5"/>
      <c r="C9" s="5"/>
      <c r="D9" s="5"/>
      <c r="E9" s="5"/>
    </row>
    <row r="10" spans="1:5">
      <c r="A10" s="145" t="s">
        <v>30</v>
      </c>
      <c r="B10" s="145"/>
      <c r="C10" s="145"/>
      <c r="D10" s="145"/>
      <c r="E10" s="145"/>
    </row>
    <row r="11" spans="1:5">
      <c r="A11" s="145" t="s">
        <v>31</v>
      </c>
      <c r="B11" s="145"/>
      <c r="C11" s="145"/>
      <c r="D11" s="145"/>
      <c r="E11" s="145"/>
    </row>
    <row r="12" spans="1:5">
      <c r="A12" s="5"/>
      <c r="B12" s="5"/>
      <c r="C12" s="5"/>
      <c r="D12" s="5"/>
      <c r="E12" s="5"/>
    </row>
    <row r="13" spans="1:5" ht="15" thickBot="1">
      <c r="A13" s="5"/>
      <c r="B13" s="5"/>
      <c r="C13" s="5"/>
      <c r="D13" s="5"/>
      <c r="E13" s="5"/>
    </row>
    <row r="14" spans="1:5" ht="50.45" customHeight="1" thickBot="1">
      <c r="A14" s="132" t="s">
        <v>97</v>
      </c>
      <c r="B14" s="133"/>
      <c r="C14" s="133"/>
      <c r="D14" s="133"/>
      <c r="E14" s="134"/>
    </row>
    <row r="15" spans="1:5" ht="50.25" customHeight="1" thickBot="1">
      <c r="A15" s="132" t="s">
        <v>98</v>
      </c>
      <c r="B15" s="133"/>
      <c r="C15" s="133"/>
      <c r="D15" s="133"/>
      <c r="E15" s="134"/>
    </row>
    <row r="16" spans="1:5">
      <c r="A16" s="126" t="s">
        <v>99</v>
      </c>
      <c r="B16" s="127"/>
      <c r="C16" s="127"/>
      <c r="D16" s="127"/>
      <c r="E16" s="128"/>
    </row>
    <row r="17" spans="1:7" ht="60" customHeight="1" thickBot="1">
      <c r="A17" s="129"/>
      <c r="B17" s="130"/>
      <c r="C17" s="130"/>
      <c r="D17" s="130"/>
      <c r="E17" s="131"/>
    </row>
    <row r="18" spans="1:7" ht="48" customHeight="1" thickBot="1">
      <c r="A18" s="80" t="s">
        <v>19</v>
      </c>
      <c r="B18" s="81" t="s">
        <v>0</v>
      </c>
      <c r="C18" s="81" t="s">
        <v>1</v>
      </c>
      <c r="D18" s="82" t="s">
        <v>32</v>
      </c>
      <c r="E18" s="83" t="s">
        <v>33</v>
      </c>
    </row>
    <row r="19" spans="1:7" ht="27" customHeight="1" thickBot="1">
      <c r="A19" s="152" t="s">
        <v>25</v>
      </c>
      <c r="B19" s="153"/>
      <c r="C19" s="153"/>
      <c r="D19" s="153"/>
      <c r="E19" s="154"/>
    </row>
    <row r="20" spans="1:7" ht="33" customHeight="1" thickBot="1">
      <c r="A20" s="122" t="s">
        <v>34</v>
      </c>
      <c r="B20" s="123"/>
      <c r="C20" s="123"/>
      <c r="D20" s="123"/>
      <c r="E20" s="125"/>
    </row>
    <row r="21" spans="1:7" ht="15" customHeight="1">
      <c r="A21" s="53" t="s">
        <v>2</v>
      </c>
      <c r="B21" s="54"/>
      <c r="C21" s="99"/>
      <c r="D21" s="100"/>
      <c r="E21" s="101"/>
    </row>
    <row r="22" spans="1:7" ht="30" customHeight="1">
      <c r="A22" s="18" t="s">
        <v>35</v>
      </c>
      <c r="B22" s="6" t="s">
        <v>3</v>
      </c>
      <c r="C22" s="42">
        <f>1335</f>
        <v>1335</v>
      </c>
      <c r="D22" s="59">
        <v>100</v>
      </c>
      <c r="E22" s="21">
        <f>C22*D22</f>
        <v>133500</v>
      </c>
    </row>
    <row r="23" spans="1:7" ht="15">
      <c r="A23" s="19" t="s">
        <v>4</v>
      </c>
      <c r="B23" s="7"/>
      <c r="C23" s="8"/>
      <c r="D23" s="9"/>
      <c r="E23" s="58">
        <f>E22</f>
        <v>133500</v>
      </c>
    </row>
    <row r="24" spans="1:7" ht="15">
      <c r="A24" s="20" t="s">
        <v>57</v>
      </c>
      <c r="B24" s="6"/>
      <c r="C24" s="90"/>
      <c r="D24" s="59"/>
      <c r="E24" s="21"/>
    </row>
    <row r="25" spans="1:7" ht="16.5" customHeight="1">
      <c r="A25" s="91" t="s">
        <v>60</v>
      </c>
      <c r="B25" s="92" t="s">
        <v>3</v>
      </c>
      <c r="C25" s="93">
        <f>C22*1.15</f>
        <v>1535.2499999999998</v>
      </c>
      <c r="D25" s="94"/>
      <c r="E25" s="21">
        <f>C25*D25</f>
        <v>0</v>
      </c>
      <c r="F25" s="89"/>
      <c r="G25" s="89" t="s">
        <v>66</v>
      </c>
    </row>
    <row r="26" spans="1:7" ht="16.5" customHeight="1" thickBot="1">
      <c r="A26" s="91" t="s">
        <v>61</v>
      </c>
      <c r="B26" s="92" t="s">
        <v>58</v>
      </c>
      <c r="C26" s="102">
        <f>((C22/3)+C86+C105)/25</f>
        <v>27.176000000000002</v>
      </c>
      <c r="D26" s="94"/>
      <c r="E26" s="21">
        <f>C26*D26</f>
        <v>0</v>
      </c>
      <c r="F26" s="89"/>
      <c r="G26" s="89" t="s">
        <v>66</v>
      </c>
    </row>
    <row r="27" spans="1:7" ht="18.75" customHeight="1" thickBot="1">
      <c r="A27" s="95" t="s">
        <v>59</v>
      </c>
      <c r="B27" s="96"/>
      <c r="C27" s="97"/>
      <c r="D27" s="98"/>
      <c r="E27" s="103">
        <f>E25+E26</f>
        <v>0</v>
      </c>
      <c r="F27" s="89"/>
    </row>
    <row r="28" spans="1:7" ht="15.75" thickBot="1">
      <c r="A28" s="32" t="s">
        <v>5</v>
      </c>
      <c r="B28" s="33"/>
      <c r="C28" s="34"/>
      <c r="D28" s="84"/>
      <c r="E28" s="88">
        <f>E23+E27</f>
        <v>133500</v>
      </c>
    </row>
    <row r="29" spans="1:7" ht="33.75" customHeight="1" thickBot="1">
      <c r="A29" s="122" t="s">
        <v>41</v>
      </c>
      <c r="B29" s="123"/>
      <c r="C29" s="123"/>
      <c r="D29" s="123"/>
      <c r="E29" s="125"/>
    </row>
    <row r="30" spans="1:7" ht="15">
      <c r="A30" s="28" t="s">
        <v>2</v>
      </c>
      <c r="B30" s="29"/>
      <c r="C30" s="35"/>
      <c r="D30" s="30"/>
      <c r="E30" s="31"/>
    </row>
    <row r="31" spans="1:7" ht="60">
      <c r="A31" s="18" t="s">
        <v>40</v>
      </c>
      <c r="B31" s="6" t="s">
        <v>3</v>
      </c>
      <c r="C31" s="42">
        <f>C22</f>
        <v>1335</v>
      </c>
      <c r="D31" s="59">
        <v>300</v>
      </c>
      <c r="E31" s="21">
        <f>C31*D31</f>
        <v>400500</v>
      </c>
    </row>
    <row r="32" spans="1:7" ht="15">
      <c r="A32" s="18" t="s">
        <v>13</v>
      </c>
      <c r="B32" s="6" t="s">
        <v>3</v>
      </c>
      <c r="C32" s="42">
        <f>C31</f>
        <v>1335</v>
      </c>
      <c r="D32" s="59">
        <v>100</v>
      </c>
      <c r="E32" s="21">
        <f>C32*D32</f>
        <v>133500</v>
      </c>
    </row>
    <row r="33" spans="1:8" ht="15">
      <c r="A33" s="19" t="s">
        <v>4</v>
      </c>
      <c r="B33" s="7"/>
      <c r="C33" s="8"/>
      <c r="D33" s="9"/>
      <c r="E33" s="58">
        <f>SUM(E31:E32)</f>
        <v>534000</v>
      </c>
    </row>
    <row r="34" spans="1:8" ht="15">
      <c r="A34" s="20" t="s">
        <v>57</v>
      </c>
      <c r="B34" s="6"/>
      <c r="C34" s="90"/>
      <c r="D34" s="59"/>
      <c r="E34" s="21"/>
    </row>
    <row r="35" spans="1:8" ht="15">
      <c r="A35" s="18" t="s">
        <v>62</v>
      </c>
      <c r="B35" s="6" t="s">
        <v>3</v>
      </c>
      <c r="C35" s="93">
        <f>C22*1.03</f>
        <v>1375.05</v>
      </c>
      <c r="D35" s="94"/>
      <c r="E35" s="21">
        <f>C35*D35</f>
        <v>0</v>
      </c>
      <c r="G35" s="89" t="s">
        <v>66</v>
      </c>
    </row>
    <row r="36" spans="1:8" ht="15">
      <c r="A36" s="18" t="s">
        <v>63</v>
      </c>
      <c r="B36" s="6" t="s">
        <v>3</v>
      </c>
      <c r="C36" s="93">
        <f>C22*1.03</f>
        <v>1375.05</v>
      </c>
      <c r="D36" s="94"/>
      <c r="E36" s="21">
        <f>C36*D36</f>
        <v>0</v>
      </c>
      <c r="G36" s="89" t="s">
        <v>66</v>
      </c>
    </row>
    <row r="37" spans="1:8" ht="16.5" customHeight="1">
      <c r="A37" s="91" t="s">
        <v>64</v>
      </c>
      <c r="B37" s="92" t="s">
        <v>58</v>
      </c>
      <c r="C37" s="93">
        <f>C22*5</f>
        <v>6675</v>
      </c>
      <c r="D37" s="94"/>
      <c r="E37" s="21">
        <f>C37*D37</f>
        <v>0</v>
      </c>
      <c r="G37" s="89" t="s">
        <v>66</v>
      </c>
      <c r="H37" s="89"/>
    </row>
    <row r="38" spans="1:8" ht="16.5" customHeight="1" thickBot="1">
      <c r="A38" s="91" t="s">
        <v>65</v>
      </c>
      <c r="B38" s="92" t="s">
        <v>58</v>
      </c>
      <c r="C38" s="93">
        <f>C22*5</f>
        <v>6675</v>
      </c>
      <c r="D38" s="94"/>
      <c r="E38" s="21">
        <f>C38*D38</f>
        <v>0</v>
      </c>
      <c r="G38" s="89" t="s">
        <v>66</v>
      </c>
      <c r="H38" s="89"/>
    </row>
    <row r="39" spans="1:8" ht="15.75" thickBot="1">
      <c r="A39" s="95" t="s">
        <v>59</v>
      </c>
      <c r="B39" s="96"/>
      <c r="C39" s="97"/>
      <c r="D39" s="98"/>
      <c r="E39" s="103">
        <f>SUM(E35:E38)</f>
        <v>0</v>
      </c>
    </row>
    <row r="40" spans="1:8" ht="15.75" thickBot="1">
      <c r="A40" s="57" t="s">
        <v>5</v>
      </c>
      <c r="B40" s="104"/>
      <c r="C40" s="104"/>
      <c r="D40" s="105"/>
      <c r="E40" s="88">
        <f>E33+E39</f>
        <v>534000</v>
      </c>
    </row>
    <row r="41" spans="1:8" ht="34.5" customHeight="1" thickBot="1">
      <c r="A41" s="122" t="s">
        <v>20</v>
      </c>
      <c r="B41" s="123"/>
      <c r="C41" s="123"/>
      <c r="D41" s="123"/>
      <c r="E41" s="124"/>
    </row>
    <row r="42" spans="1:8" ht="15">
      <c r="A42" s="28" t="s">
        <v>2</v>
      </c>
      <c r="B42" s="29"/>
      <c r="C42" s="29"/>
      <c r="D42" s="29"/>
      <c r="E42" s="36"/>
    </row>
    <row r="43" spans="1:8" ht="15">
      <c r="A43" s="18" t="s">
        <v>39</v>
      </c>
      <c r="B43" s="6" t="s">
        <v>3</v>
      </c>
      <c r="C43" s="43">
        <f>C31</f>
        <v>1335</v>
      </c>
      <c r="D43" s="59">
        <v>80</v>
      </c>
      <c r="E43" s="23">
        <f>C43*D43</f>
        <v>106800</v>
      </c>
    </row>
    <row r="44" spans="1:8" ht="50.25" customHeight="1">
      <c r="A44" s="18" t="s">
        <v>36</v>
      </c>
      <c r="B44" s="6" t="s">
        <v>3</v>
      </c>
      <c r="C44" s="43">
        <f>C22-C86</f>
        <v>1282.2</v>
      </c>
      <c r="D44" s="59">
        <v>400</v>
      </c>
      <c r="E44" s="23">
        <f>C44*D44</f>
        <v>512880</v>
      </c>
    </row>
    <row r="45" spans="1:8" ht="15">
      <c r="A45" s="18" t="s">
        <v>37</v>
      </c>
      <c r="B45" s="6" t="s">
        <v>3</v>
      </c>
      <c r="C45" s="43">
        <f>C22</f>
        <v>1335</v>
      </c>
      <c r="D45" s="59">
        <v>100</v>
      </c>
      <c r="E45" s="23">
        <f>C45*D45</f>
        <v>133500</v>
      </c>
    </row>
    <row r="46" spans="1:8" ht="15">
      <c r="A46" s="19" t="s">
        <v>4</v>
      </c>
      <c r="B46" s="7"/>
      <c r="C46" s="12"/>
      <c r="D46" s="9"/>
      <c r="E46" s="58">
        <f>SUM(E43:E45)</f>
        <v>753180</v>
      </c>
    </row>
    <row r="47" spans="1:8" ht="15">
      <c r="A47" s="20" t="s">
        <v>57</v>
      </c>
      <c r="B47" s="6"/>
      <c r="C47" s="90"/>
      <c r="D47" s="59"/>
      <c r="E47" s="21"/>
    </row>
    <row r="48" spans="1:8" ht="15">
      <c r="A48" s="18" t="s">
        <v>67</v>
      </c>
      <c r="B48" s="6" t="s">
        <v>3</v>
      </c>
      <c r="C48" s="93">
        <f>C22*1.18</f>
        <v>1575.3</v>
      </c>
      <c r="D48" s="94"/>
      <c r="E48" s="21">
        <f>C48*D48</f>
        <v>0</v>
      </c>
      <c r="G48" s="89" t="s">
        <v>66</v>
      </c>
    </row>
    <row r="49" spans="1:8" ht="15">
      <c r="A49" s="18" t="s">
        <v>68</v>
      </c>
      <c r="B49" s="6" t="s">
        <v>3</v>
      </c>
      <c r="C49" s="93">
        <f>C22*1.18</f>
        <v>1575.3</v>
      </c>
      <c r="D49" s="94"/>
      <c r="E49" s="21">
        <f>C49*D49</f>
        <v>0</v>
      </c>
      <c r="G49" s="89" t="s">
        <v>66</v>
      </c>
    </row>
    <row r="50" spans="1:8" ht="16.5" customHeight="1">
      <c r="A50" s="91" t="s">
        <v>64</v>
      </c>
      <c r="B50" s="92" t="s">
        <v>58</v>
      </c>
      <c r="C50" s="93">
        <f>C22*5</f>
        <v>6675</v>
      </c>
      <c r="D50" s="94"/>
      <c r="E50" s="21">
        <f>C50*D50</f>
        <v>0</v>
      </c>
      <c r="G50" s="89" t="s">
        <v>66</v>
      </c>
      <c r="H50" s="89"/>
    </row>
    <row r="51" spans="1:8" ht="16.5" customHeight="1">
      <c r="A51" s="91" t="s">
        <v>65</v>
      </c>
      <c r="B51" s="92" t="s">
        <v>58</v>
      </c>
      <c r="C51" s="93">
        <f>C22*5</f>
        <v>6675</v>
      </c>
      <c r="D51" s="94"/>
      <c r="E51" s="21">
        <f>C51*D51</f>
        <v>0</v>
      </c>
      <c r="G51" s="89" t="s">
        <v>66</v>
      </c>
      <c r="H51" s="89"/>
    </row>
    <row r="52" spans="1:8" ht="15.75" thickBot="1">
      <c r="A52" s="91" t="s">
        <v>81</v>
      </c>
      <c r="B52" s="109" t="s">
        <v>58</v>
      </c>
      <c r="C52" s="110">
        <v>4</v>
      </c>
      <c r="D52" s="59"/>
      <c r="E52" s="111">
        <f>C52*D52</f>
        <v>0</v>
      </c>
    </row>
    <row r="53" spans="1:8" ht="15.75" thickBot="1">
      <c r="A53" s="95" t="s">
        <v>59</v>
      </c>
      <c r="B53" s="96"/>
      <c r="C53" s="97"/>
      <c r="D53" s="98"/>
      <c r="E53" s="103">
        <f>SUM(E48:E52)</f>
        <v>0</v>
      </c>
    </row>
    <row r="54" spans="1:8" ht="15.75" thickBot="1">
      <c r="A54" s="32" t="s">
        <v>5</v>
      </c>
      <c r="B54" s="37"/>
      <c r="C54" s="37"/>
      <c r="D54" s="85"/>
      <c r="E54" s="88">
        <f>E46+E53</f>
        <v>753180</v>
      </c>
    </row>
    <row r="55" spans="1:8" ht="30.75" customHeight="1" thickBot="1">
      <c r="A55" s="117" t="s">
        <v>38</v>
      </c>
      <c r="B55" s="118"/>
      <c r="C55" s="118"/>
      <c r="D55" s="118"/>
      <c r="E55" s="119"/>
    </row>
    <row r="56" spans="1:8" ht="15">
      <c r="A56" s="53" t="s">
        <v>2</v>
      </c>
      <c r="B56" s="54"/>
      <c r="C56" s="54"/>
      <c r="D56" s="54"/>
      <c r="E56" s="55"/>
    </row>
    <row r="57" spans="1:8" ht="15">
      <c r="A57" s="18" t="s">
        <v>42</v>
      </c>
      <c r="B57" s="6" t="s">
        <v>6</v>
      </c>
      <c r="C57" s="43">
        <f>(43.5+0.95+0.95)*2</f>
        <v>90.800000000000011</v>
      </c>
      <c r="D57" s="11">
        <v>600</v>
      </c>
      <c r="E57" s="23">
        <f>C57*D57</f>
        <v>54480.000000000007</v>
      </c>
    </row>
    <row r="58" spans="1:8" ht="15">
      <c r="A58" s="18" t="s">
        <v>43</v>
      </c>
      <c r="B58" s="6" t="s">
        <v>6</v>
      </c>
      <c r="C58" s="43">
        <f>C57</f>
        <v>90.800000000000011</v>
      </c>
      <c r="D58" s="11">
        <v>200</v>
      </c>
      <c r="E58" s="23">
        <f>C58*D58</f>
        <v>18160.000000000004</v>
      </c>
    </row>
    <row r="59" spans="1:8" ht="15">
      <c r="A59" s="18" t="s">
        <v>44</v>
      </c>
      <c r="B59" s="6" t="s">
        <v>6</v>
      </c>
      <c r="C59" s="43">
        <f>C57</f>
        <v>90.800000000000011</v>
      </c>
      <c r="D59" s="11">
        <v>185</v>
      </c>
      <c r="E59" s="23">
        <f>C59*D59</f>
        <v>16798.000000000004</v>
      </c>
    </row>
    <row r="60" spans="1:8" ht="15">
      <c r="A60" s="18" t="s">
        <v>45</v>
      </c>
      <c r="B60" s="6" t="s">
        <v>6</v>
      </c>
      <c r="C60" s="43">
        <f>C58</f>
        <v>90.800000000000011</v>
      </c>
      <c r="D60" s="11">
        <v>700</v>
      </c>
      <c r="E60" s="23">
        <f>C60*D60</f>
        <v>63560.000000000007</v>
      </c>
    </row>
    <row r="61" spans="1:8" ht="15">
      <c r="A61" s="19" t="s">
        <v>4</v>
      </c>
      <c r="B61" s="7"/>
      <c r="C61" s="12"/>
      <c r="D61" s="14"/>
      <c r="E61" s="58">
        <f>SUM(E57:E60)</f>
        <v>152998.00000000003</v>
      </c>
    </row>
    <row r="62" spans="1:8" ht="15">
      <c r="A62" s="20" t="s">
        <v>57</v>
      </c>
      <c r="B62" s="6"/>
      <c r="C62" s="43"/>
      <c r="D62" s="11"/>
      <c r="E62" s="23"/>
    </row>
    <row r="63" spans="1:8" ht="15">
      <c r="A63" s="18" t="s">
        <v>69</v>
      </c>
      <c r="B63" s="6" t="s">
        <v>6</v>
      </c>
      <c r="C63" s="43">
        <f>C57*1.1</f>
        <v>99.880000000000024</v>
      </c>
      <c r="D63" s="11"/>
      <c r="E63" s="23">
        <f t="shared" ref="E63:E70" si="0">C63*D63</f>
        <v>0</v>
      </c>
      <c r="G63" s="89" t="s">
        <v>66</v>
      </c>
    </row>
    <row r="64" spans="1:8" ht="15">
      <c r="A64" s="18" t="s">
        <v>70</v>
      </c>
      <c r="B64" s="6" t="s">
        <v>58</v>
      </c>
      <c r="C64" s="43">
        <f>C57*5</f>
        <v>454.00000000000006</v>
      </c>
      <c r="D64" s="11"/>
      <c r="E64" s="23">
        <f t="shared" si="0"/>
        <v>0</v>
      </c>
      <c r="G64" s="89" t="s">
        <v>66</v>
      </c>
    </row>
    <row r="65" spans="1:14" ht="15">
      <c r="A65" s="18" t="s">
        <v>71</v>
      </c>
      <c r="B65" s="6" t="s">
        <v>58</v>
      </c>
      <c r="C65" s="43">
        <f>C57*5</f>
        <v>454.00000000000006</v>
      </c>
      <c r="D65" s="11"/>
      <c r="E65" s="23">
        <f t="shared" si="0"/>
        <v>0</v>
      </c>
      <c r="G65" s="89" t="s">
        <v>66</v>
      </c>
      <c r="N65" s="106"/>
    </row>
    <row r="66" spans="1:14" ht="15">
      <c r="A66" s="18" t="s">
        <v>72</v>
      </c>
      <c r="B66" s="6" t="s">
        <v>6</v>
      </c>
      <c r="C66" s="43">
        <f>C59*1.1</f>
        <v>99.880000000000024</v>
      </c>
      <c r="D66" s="11"/>
      <c r="E66" s="23">
        <f t="shared" si="0"/>
        <v>0</v>
      </c>
      <c r="G66" s="89" t="s">
        <v>66</v>
      </c>
      <c r="N66" s="106"/>
    </row>
    <row r="67" spans="1:14" ht="15">
      <c r="A67" s="18" t="s">
        <v>73</v>
      </c>
      <c r="B67" s="6" t="s">
        <v>58</v>
      </c>
      <c r="C67" s="43">
        <v>160</v>
      </c>
      <c r="D67" s="11"/>
      <c r="E67" s="23">
        <f t="shared" si="0"/>
        <v>0</v>
      </c>
      <c r="G67" s="89" t="s">
        <v>66</v>
      </c>
    </row>
    <row r="68" spans="1:14" ht="15">
      <c r="A68" s="18" t="s">
        <v>74</v>
      </c>
      <c r="B68" s="6" t="s">
        <v>58</v>
      </c>
      <c r="C68" s="43">
        <f>C67*4</f>
        <v>640</v>
      </c>
      <c r="D68" s="11"/>
      <c r="E68" s="23">
        <f t="shared" si="0"/>
        <v>0</v>
      </c>
      <c r="G68" s="89" t="s">
        <v>66</v>
      </c>
    </row>
    <row r="69" spans="1:14" ht="15">
      <c r="A69" s="18" t="s">
        <v>75</v>
      </c>
      <c r="B69" s="6" t="s">
        <v>76</v>
      </c>
      <c r="C69" s="43">
        <f>C57*1.1</f>
        <v>99.880000000000024</v>
      </c>
      <c r="D69" s="11"/>
      <c r="E69" s="23">
        <f t="shared" si="0"/>
        <v>0</v>
      </c>
      <c r="G69" s="89" t="s">
        <v>66</v>
      </c>
    </row>
    <row r="70" spans="1:14" ht="15.75" thickBot="1">
      <c r="A70" s="18" t="s">
        <v>77</v>
      </c>
      <c r="B70" s="6" t="s">
        <v>76</v>
      </c>
      <c r="C70" s="43">
        <f>C69*5*2</f>
        <v>998.80000000000018</v>
      </c>
      <c r="D70" s="11"/>
      <c r="E70" s="23">
        <f t="shared" si="0"/>
        <v>0</v>
      </c>
      <c r="G70" s="89" t="s">
        <v>66</v>
      </c>
    </row>
    <row r="71" spans="1:14" ht="15.75" thickBot="1">
      <c r="A71" s="95" t="s">
        <v>59</v>
      </c>
      <c r="B71" s="96"/>
      <c r="C71" s="97"/>
      <c r="D71" s="98"/>
      <c r="E71" s="103">
        <f>SUM(E63:E70)</f>
        <v>0</v>
      </c>
    </row>
    <row r="72" spans="1:14" ht="15.75" thickBot="1">
      <c r="A72" s="32" t="s">
        <v>5</v>
      </c>
      <c r="B72" s="37"/>
      <c r="C72" s="37"/>
      <c r="D72" s="85"/>
      <c r="E72" s="88">
        <f>E61+E71</f>
        <v>152998.00000000003</v>
      </c>
    </row>
    <row r="73" spans="1:14" ht="34.5" customHeight="1">
      <c r="A73" s="117" t="s">
        <v>49</v>
      </c>
      <c r="B73" s="118"/>
      <c r="C73" s="118"/>
      <c r="D73" s="118"/>
      <c r="E73" s="119"/>
    </row>
    <row r="74" spans="1:14" ht="15">
      <c r="A74" s="56" t="s">
        <v>2</v>
      </c>
      <c r="B74" s="10"/>
      <c r="C74" s="52"/>
      <c r="D74" s="15"/>
      <c r="E74" s="24"/>
    </row>
    <row r="75" spans="1:14" ht="45">
      <c r="A75" s="18" t="s">
        <v>48</v>
      </c>
      <c r="B75" s="6" t="s">
        <v>6</v>
      </c>
      <c r="C75" s="43">
        <f>C57</f>
        <v>90.800000000000011</v>
      </c>
      <c r="D75" s="11">
        <v>120</v>
      </c>
      <c r="E75" s="23">
        <f>C75*D75</f>
        <v>10896.000000000002</v>
      </c>
    </row>
    <row r="76" spans="1:14" ht="15">
      <c r="A76" s="18" t="s">
        <v>47</v>
      </c>
      <c r="B76" s="6" t="s">
        <v>6</v>
      </c>
      <c r="C76" s="43">
        <f>C58</f>
        <v>90.800000000000011</v>
      </c>
      <c r="D76" s="11">
        <v>160</v>
      </c>
      <c r="E76" s="23">
        <f>C76*D76</f>
        <v>14528.000000000002</v>
      </c>
    </row>
    <row r="77" spans="1:14" ht="15">
      <c r="A77" s="19" t="s">
        <v>4</v>
      </c>
      <c r="B77" s="7"/>
      <c r="C77" s="12"/>
      <c r="D77" s="14"/>
      <c r="E77" s="58">
        <f>SUM(E75:E76)</f>
        <v>25424.000000000004</v>
      </c>
    </row>
    <row r="78" spans="1:14" ht="15">
      <c r="A78" s="20" t="s">
        <v>57</v>
      </c>
      <c r="B78" s="6"/>
      <c r="C78" s="43"/>
      <c r="D78" s="11"/>
      <c r="E78" s="23"/>
    </row>
    <row r="79" spans="1:14" ht="15">
      <c r="A79" s="22" t="s">
        <v>91</v>
      </c>
      <c r="B79" s="106" t="s">
        <v>6</v>
      </c>
      <c r="C79" s="107">
        <f>C75*1.05</f>
        <v>95.340000000000018</v>
      </c>
      <c r="D79" s="11"/>
      <c r="E79" s="23">
        <f>C79*D79</f>
        <v>0</v>
      </c>
      <c r="G79" s="89" t="s">
        <v>66</v>
      </c>
    </row>
    <row r="80" spans="1:14" ht="15">
      <c r="A80" s="108" t="s">
        <v>78</v>
      </c>
      <c r="B80" s="106" t="s">
        <v>58</v>
      </c>
      <c r="C80" s="107">
        <f>C79*5</f>
        <v>476.7000000000001</v>
      </c>
      <c r="D80" s="11"/>
      <c r="E80" s="23">
        <f>C80*D80</f>
        <v>0</v>
      </c>
      <c r="G80" s="89" t="s">
        <v>66</v>
      </c>
    </row>
    <row r="81" spans="1:7" ht="15.75" thickBot="1">
      <c r="A81" s="108" t="s">
        <v>80</v>
      </c>
      <c r="B81" s="106" t="s">
        <v>79</v>
      </c>
      <c r="C81" s="107">
        <f>C75*0.3*0.1*1.1</f>
        <v>2.9964000000000004</v>
      </c>
      <c r="D81" s="11"/>
      <c r="E81" s="23">
        <f>C81*D81</f>
        <v>0</v>
      </c>
      <c r="G81" s="89" t="s">
        <v>66</v>
      </c>
    </row>
    <row r="82" spans="1:7" ht="15.75" thickBot="1">
      <c r="A82" s="95" t="s">
        <v>59</v>
      </c>
      <c r="B82" s="96"/>
      <c r="C82" s="97"/>
      <c r="D82" s="98"/>
      <c r="E82" s="103">
        <f>SUM(E79:E81)</f>
        <v>0</v>
      </c>
    </row>
    <row r="83" spans="1:7" ht="15.75" thickBot="1">
      <c r="A83" s="32" t="s">
        <v>5</v>
      </c>
      <c r="B83" s="37"/>
      <c r="C83" s="37"/>
      <c r="D83" s="85"/>
      <c r="E83" s="114">
        <f>E77+E82</f>
        <v>25424.000000000004</v>
      </c>
    </row>
    <row r="84" spans="1:7" ht="36.6" customHeight="1">
      <c r="A84" s="155" t="s">
        <v>46</v>
      </c>
      <c r="B84" s="156"/>
      <c r="C84" s="156"/>
      <c r="D84" s="156"/>
      <c r="E84" s="157"/>
    </row>
    <row r="85" spans="1:7" ht="15">
      <c r="A85" s="56" t="s">
        <v>2</v>
      </c>
      <c r="B85" s="10"/>
      <c r="C85" s="52"/>
      <c r="D85" s="15"/>
      <c r="E85" s="24"/>
    </row>
    <row r="86" spans="1:7" ht="49.5" customHeight="1">
      <c r="A86" s="22" t="s">
        <v>46</v>
      </c>
      <c r="B86" s="10" t="s">
        <v>6</v>
      </c>
      <c r="C86" s="43">
        <f>(24+0.95+0.95)*2+1</f>
        <v>52.8</v>
      </c>
      <c r="D86" s="15">
        <v>550</v>
      </c>
      <c r="E86" s="24">
        <f>C86*D86</f>
        <v>29040</v>
      </c>
      <c r="F86" s="1"/>
    </row>
    <row r="87" spans="1:7" ht="15">
      <c r="A87" s="19" t="s">
        <v>4</v>
      </c>
      <c r="B87" s="7"/>
      <c r="C87" s="12"/>
      <c r="D87" s="14"/>
      <c r="E87" s="58">
        <f>E86</f>
        <v>29040</v>
      </c>
      <c r="F87" s="1"/>
    </row>
    <row r="88" spans="1:7" ht="15">
      <c r="A88" s="20" t="s">
        <v>57</v>
      </c>
      <c r="B88" s="6"/>
      <c r="C88" s="43"/>
      <c r="D88" s="11"/>
      <c r="E88" s="23"/>
    </row>
    <row r="89" spans="1:7" ht="30">
      <c r="A89" s="112" t="s">
        <v>82</v>
      </c>
      <c r="B89" s="113" t="s">
        <v>3</v>
      </c>
      <c r="C89" s="110">
        <f>C86</f>
        <v>52.8</v>
      </c>
      <c r="D89" s="11"/>
      <c r="E89" s="23">
        <f>C89*D89</f>
        <v>0</v>
      </c>
      <c r="G89" s="89" t="s">
        <v>66</v>
      </c>
    </row>
    <row r="90" spans="1:7" ht="15.75" thickBot="1">
      <c r="A90" s="91" t="s">
        <v>83</v>
      </c>
      <c r="B90" s="109" t="s">
        <v>84</v>
      </c>
      <c r="C90" s="110">
        <v>2</v>
      </c>
      <c r="D90" s="11"/>
      <c r="E90" s="23">
        <f>C90*D90</f>
        <v>0</v>
      </c>
      <c r="G90" s="89" t="s">
        <v>66</v>
      </c>
    </row>
    <row r="91" spans="1:7" ht="15.75" thickBot="1">
      <c r="A91" s="95" t="s">
        <v>59</v>
      </c>
      <c r="B91" s="96"/>
      <c r="C91" s="97"/>
      <c r="D91" s="98"/>
      <c r="E91" s="103">
        <f>SUM(E89:E90)</f>
        <v>0</v>
      </c>
    </row>
    <row r="92" spans="1:7" ht="15.75" thickBot="1">
      <c r="A92" s="57" t="s">
        <v>5</v>
      </c>
      <c r="B92" s="26"/>
      <c r="C92" s="26"/>
      <c r="D92" s="115"/>
      <c r="E92" s="88">
        <f>E87+E91</f>
        <v>29040</v>
      </c>
    </row>
    <row r="93" spans="1:7" ht="28.5" customHeight="1">
      <c r="A93" s="146" t="s">
        <v>23</v>
      </c>
      <c r="B93" s="147"/>
      <c r="C93" s="147"/>
      <c r="D93" s="147"/>
      <c r="E93" s="148"/>
      <c r="F93" s="1"/>
    </row>
    <row r="94" spans="1:7" ht="15">
      <c r="A94" s="20" t="s">
        <v>2</v>
      </c>
      <c r="B94" s="6"/>
      <c r="C94" s="50"/>
      <c r="D94" s="11"/>
      <c r="E94" s="23"/>
      <c r="F94" s="1"/>
    </row>
    <row r="95" spans="1:7" ht="15">
      <c r="A95" s="18" t="s">
        <v>89</v>
      </c>
      <c r="B95" s="6" t="s">
        <v>6</v>
      </c>
      <c r="C95" s="43">
        <f>C86*2</f>
        <v>105.6</v>
      </c>
      <c r="D95" s="11">
        <v>150</v>
      </c>
      <c r="E95" s="23">
        <f>C95*D95</f>
        <v>15840</v>
      </c>
      <c r="F95" s="1"/>
    </row>
    <row r="96" spans="1:7" ht="15">
      <c r="A96" s="19" t="s">
        <v>4</v>
      </c>
      <c r="B96" s="7"/>
      <c r="C96" s="12"/>
      <c r="D96" s="14"/>
      <c r="E96" s="58">
        <f>E95</f>
        <v>15840</v>
      </c>
      <c r="F96" s="1"/>
    </row>
    <row r="97" spans="1:7" ht="15">
      <c r="A97" s="91" t="s">
        <v>85</v>
      </c>
      <c r="B97" s="109" t="s">
        <v>6</v>
      </c>
      <c r="C97" s="110">
        <f>C86*2</f>
        <v>105.6</v>
      </c>
      <c r="D97" s="11"/>
      <c r="E97" s="23">
        <f>C97*D97</f>
        <v>0</v>
      </c>
      <c r="G97" s="89" t="s">
        <v>66</v>
      </c>
    </row>
    <row r="98" spans="1:7" ht="15">
      <c r="A98" s="91" t="s">
        <v>86</v>
      </c>
      <c r="B98" s="109" t="s">
        <v>6</v>
      </c>
      <c r="C98" s="110">
        <f>C97</f>
        <v>105.6</v>
      </c>
      <c r="D98" s="11"/>
      <c r="E98" s="23">
        <f>C98*D98</f>
        <v>0</v>
      </c>
      <c r="G98" s="89" t="s">
        <v>66</v>
      </c>
    </row>
    <row r="99" spans="1:7" ht="15">
      <c r="A99" s="41" t="s">
        <v>88</v>
      </c>
      <c r="B99" s="39" t="s">
        <v>58</v>
      </c>
      <c r="C99" s="43">
        <f>C89*5*2</f>
        <v>528</v>
      </c>
      <c r="D99" s="11"/>
      <c r="E99" s="23">
        <f>C99*D99</f>
        <v>0</v>
      </c>
      <c r="G99" s="89" t="s">
        <v>66</v>
      </c>
    </row>
    <row r="100" spans="1:7" ht="15.75" thickBot="1">
      <c r="A100" s="91" t="s">
        <v>87</v>
      </c>
      <c r="B100" s="109" t="s">
        <v>58</v>
      </c>
      <c r="C100" s="110">
        <v>15</v>
      </c>
      <c r="D100" s="11"/>
      <c r="E100" s="23">
        <f>C100*D100</f>
        <v>0</v>
      </c>
      <c r="G100" s="89" t="s">
        <v>66</v>
      </c>
    </row>
    <row r="101" spans="1:7" ht="15.75" thickBot="1">
      <c r="A101" s="95" t="s">
        <v>59</v>
      </c>
      <c r="B101" s="96"/>
      <c r="C101" s="97"/>
      <c r="D101" s="98"/>
      <c r="E101" s="103">
        <f>SUM(E97:E100)</f>
        <v>0</v>
      </c>
    </row>
    <row r="102" spans="1:7" ht="15.75" thickBot="1">
      <c r="A102" s="57" t="s">
        <v>5</v>
      </c>
      <c r="B102" s="26"/>
      <c r="C102" s="27"/>
      <c r="D102" s="86"/>
      <c r="E102" s="88">
        <f>E96+E101</f>
        <v>15840</v>
      </c>
      <c r="F102" s="1"/>
    </row>
    <row r="103" spans="1:7" ht="31.5" customHeight="1" thickBot="1">
      <c r="A103" s="161" t="s">
        <v>24</v>
      </c>
      <c r="B103" s="162"/>
      <c r="C103" s="162"/>
      <c r="D103" s="162"/>
      <c r="E103" s="163"/>
    </row>
    <row r="104" spans="1:7" ht="15">
      <c r="A104" s="75" t="s">
        <v>2</v>
      </c>
      <c r="B104" s="76"/>
      <c r="C104" s="77"/>
      <c r="D104" s="78"/>
      <c r="E104" s="79"/>
    </row>
    <row r="105" spans="1:7" ht="30.75" thickBot="1">
      <c r="A105" s="18" t="s">
        <v>50</v>
      </c>
      <c r="B105" s="6" t="s">
        <v>6</v>
      </c>
      <c r="C105" s="43">
        <f>C75*2</f>
        <v>181.60000000000002</v>
      </c>
      <c r="D105" s="11">
        <v>120</v>
      </c>
      <c r="E105" s="23">
        <f>C105*D105</f>
        <v>21792.000000000004</v>
      </c>
    </row>
    <row r="106" spans="1:7" ht="15">
      <c r="A106" s="18" t="s">
        <v>51</v>
      </c>
      <c r="B106" s="6" t="s">
        <v>6</v>
      </c>
      <c r="C106" s="43">
        <f>C75</f>
        <v>90.800000000000011</v>
      </c>
      <c r="D106" s="11">
        <v>160</v>
      </c>
      <c r="E106" s="23">
        <f>C106*D106</f>
        <v>14528.000000000002</v>
      </c>
    </row>
    <row r="107" spans="1:7" ht="15">
      <c r="A107" s="41" t="s">
        <v>52</v>
      </c>
      <c r="B107" s="39" t="s">
        <v>3</v>
      </c>
      <c r="C107" s="44">
        <f>0.5*C75</f>
        <v>45.400000000000006</v>
      </c>
      <c r="D107" s="40">
        <f>D44</f>
        <v>400</v>
      </c>
      <c r="E107" s="45">
        <f>C107*D107</f>
        <v>18160.000000000004</v>
      </c>
    </row>
    <row r="108" spans="1:7" ht="15">
      <c r="A108" s="47" t="s">
        <v>4</v>
      </c>
      <c r="B108" s="48"/>
      <c r="C108" s="51"/>
      <c r="D108" s="49"/>
      <c r="E108" s="58">
        <f>SUM(E105:E107)</f>
        <v>54480.000000000015</v>
      </c>
    </row>
    <row r="109" spans="1:7" ht="15">
      <c r="A109" s="20" t="s">
        <v>57</v>
      </c>
      <c r="B109" s="6"/>
      <c r="C109" s="43"/>
      <c r="D109" s="11"/>
      <c r="E109" s="23"/>
    </row>
    <row r="110" spans="1:7" ht="15">
      <c r="A110" s="22" t="s">
        <v>90</v>
      </c>
      <c r="B110" s="106" t="s">
        <v>6</v>
      </c>
      <c r="C110" s="107">
        <f>C106*1.05</f>
        <v>95.340000000000018</v>
      </c>
      <c r="D110" s="11"/>
      <c r="E110" s="23">
        <f>C110*D110</f>
        <v>0</v>
      </c>
      <c r="G110" s="89" t="s">
        <v>66</v>
      </c>
    </row>
    <row r="111" spans="1:7" ht="15">
      <c r="A111" s="108" t="s">
        <v>78</v>
      </c>
      <c r="B111" s="106" t="s">
        <v>58</v>
      </c>
      <c r="C111" s="107">
        <f>C110*5*2</f>
        <v>953.4000000000002</v>
      </c>
      <c r="D111" s="11"/>
      <c r="E111" s="23">
        <f>C111*D111</f>
        <v>0</v>
      </c>
      <c r="G111" s="89" t="s">
        <v>66</v>
      </c>
    </row>
    <row r="112" spans="1:7" ht="15.75" thickBot="1">
      <c r="A112" s="108" t="s">
        <v>80</v>
      </c>
      <c r="B112" s="106" t="s">
        <v>79</v>
      </c>
      <c r="C112" s="107">
        <f>C105*0.3*0.1*1.1</f>
        <v>5.9928000000000008</v>
      </c>
      <c r="D112" s="11"/>
      <c r="E112" s="23">
        <f>C112*D112</f>
        <v>0</v>
      </c>
      <c r="G112" s="89" t="s">
        <v>66</v>
      </c>
    </row>
    <row r="113" spans="1:7" ht="15.75" thickBot="1">
      <c r="A113" s="95" t="s">
        <v>59</v>
      </c>
      <c r="B113" s="96"/>
      <c r="C113" s="97"/>
      <c r="D113" s="98"/>
      <c r="E113" s="103">
        <f>SUM(E110:E112)</f>
        <v>0</v>
      </c>
    </row>
    <row r="114" spans="1:7" ht="15.75" thickBot="1">
      <c r="A114" s="25" t="s">
        <v>5</v>
      </c>
      <c r="B114" s="26"/>
      <c r="C114" s="27"/>
      <c r="D114" s="86"/>
      <c r="E114" s="88">
        <f>E108+E113</f>
        <v>54480.000000000015</v>
      </c>
    </row>
    <row r="115" spans="1:7" ht="30.75" customHeight="1" thickBot="1">
      <c r="A115" s="122" t="s">
        <v>53</v>
      </c>
      <c r="B115" s="123"/>
      <c r="C115" s="123"/>
      <c r="D115" s="123"/>
      <c r="E115" s="124"/>
    </row>
    <row r="116" spans="1:7" ht="15">
      <c r="A116" s="28" t="s">
        <v>2</v>
      </c>
      <c r="B116" s="29"/>
      <c r="C116" s="29"/>
      <c r="D116" s="29"/>
      <c r="E116" s="36"/>
    </row>
    <row r="117" spans="1:7" ht="15.95" customHeight="1">
      <c r="A117" s="18" t="s">
        <v>54</v>
      </c>
      <c r="B117" s="6" t="s">
        <v>6</v>
      </c>
      <c r="C117" s="43">
        <f>3.7*4</f>
        <v>14.8</v>
      </c>
      <c r="D117" s="11">
        <v>600</v>
      </c>
      <c r="E117" s="23">
        <f>C117*D117</f>
        <v>8880</v>
      </c>
    </row>
    <row r="118" spans="1:7" ht="15">
      <c r="A118" s="19" t="s">
        <v>4</v>
      </c>
      <c r="B118" s="16"/>
      <c r="C118" s="17"/>
      <c r="D118" s="13"/>
      <c r="E118" s="58">
        <f>E117</f>
        <v>8880</v>
      </c>
    </row>
    <row r="119" spans="1:7" ht="15">
      <c r="A119" s="20" t="s">
        <v>57</v>
      </c>
      <c r="B119" s="6"/>
      <c r="C119" s="43"/>
      <c r="D119" s="11"/>
      <c r="E119" s="23"/>
    </row>
    <row r="120" spans="1:7" ht="15">
      <c r="A120" s="18" t="s">
        <v>72</v>
      </c>
      <c r="B120" s="6" t="s">
        <v>6</v>
      </c>
      <c r="C120" s="43">
        <f>C117*1.1</f>
        <v>16.28</v>
      </c>
      <c r="D120" s="11"/>
      <c r="E120" s="23">
        <f>C120*D120</f>
        <v>0</v>
      </c>
      <c r="G120" s="89" t="s">
        <v>66</v>
      </c>
    </row>
    <row r="121" spans="1:7" ht="15">
      <c r="A121" s="18" t="s">
        <v>92</v>
      </c>
      <c r="B121" s="6" t="s">
        <v>58</v>
      </c>
      <c r="C121" s="43">
        <f>4*2</f>
        <v>8</v>
      </c>
      <c r="D121" s="11"/>
      <c r="E121" s="23">
        <f>C121*D121</f>
        <v>0</v>
      </c>
      <c r="G121" s="89"/>
    </row>
    <row r="122" spans="1:7" ht="15">
      <c r="A122" s="18" t="s">
        <v>93</v>
      </c>
      <c r="B122" s="6" t="s">
        <v>58</v>
      </c>
      <c r="C122" s="43">
        <v>4</v>
      </c>
      <c r="D122" s="11"/>
      <c r="E122" s="23">
        <f t="shared" ref="E122" si="1">C122*D122</f>
        <v>0</v>
      </c>
      <c r="G122" s="89"/>
    </row>
    <row r="123" spans="1:7" ht="15">
      <c r="A123" s="18" t="s">
        <v>94</v>
      </c>
      <c r="B123" s="6" t="s">
        <v>58</v>
      </c>
      <c r="C123" s="43">
        <f>4*4</f>
        <v>16</v>
      </c>
      <c r="D123" s="11"/>
      <c r="E123" s="23">
        <f>C123*D123</f>
        <v>0</v>
      </c>
      <c r="G123" s="89" t="s">
        <v>66</v>
      </c>
    </row>
    <row r="124" spans="1:7" ht="15">
      <c r="A124" s="18" t="s">
        <v>95</v>
      </c>
      <c r="B124" s="6" t="s">
        <v>58</v>
      </c>
      <c r="C124" s="43">
        <f>C123</f>
        <v>16</v>
      </c>
      <c r="D124" s="11"/>
      <c r="E124" s="23">
        <f>C124*D124</f>
        <v>0</v>
      </c>
      <c r="G124" s="89"/>
    </row>
    <row r="125" spans="1:7" ht="15.75" thickBot="1">
      <c r="A125" s="18" t="s">
        <v>74</v>
      </c>
      <c r="B125" s="6" t="s">
        <v>58</v>
      </c>
      <c r="C125" s="43">
        <f>10*4</f>
        <v>40</v>
      </c>
      <c r="D125" s="11"/>
      <c r="E125" s="23">
        <f>C125*D125</f>
        <v>0</v>
      </c>
      <c r="G125" s="89" t="s">
        <v>66</v>
      </c>
    </row>
    <row r="126" spans="1:7" ht="15.75" thickBot="1">
      <c r="A126" s="95" t="s">
        <v>59</v>
      </c>
      <c r="B126" s="96"/>
      <c r="C126" s="97"/>
      <c r="D126" s="98"/>
      <c r="E126" s="103">
        <f>SUM(E120:E125)</f>
        <v>0</v>
      </c>
    </row>
    <row r="127" spans="1:7" ht="20.100000000000001" customHeight="1" thickBot="1">
      <c r="A127" s="25" t="s">
        <v>5</v>
      </c>
      <c r="B127" s="26"/>
      <c r="C127" s="27"/>
      <c r="D127" s="86"/>
      <c r="E127" s="88">
        <f>E118+E126</f>
        <v>8880</v>
      </c>
    </row>
    <row r="128" spans="1:7" ht="38.25" customHeight="1" thickBot="1">
      <c r="A128" s="149" t="s">
        <v>15</v>
      </c>
      <c r="B128" s="150"/>
      <c r="C128" s="150"/>
      <c r="D128" s="151"/>
      <c r="E128" s="87">
        <f>SUM(E23,E33,E46,E61,E77,E87,E96,E108,E118)</f>
        <v>1707342</v>
      </c>
    </row>
    <row r="129" spans="1:5" ht="38.25" customHeight="1" thickBot="1">
      <c r="A129" s="158" t="s">
        <v>96</v>
      </c>
      <c r="B129" s="159"/>
      <c r="C129" s="159"/>
      <c r="D129" s="160"/>
      <c r="E129" s="116">
        <f>SUM(E27,E39,E53,E71,E82,E91,E101,E113,E126)</f>
        <v>0</v>
      </c>
    </row>
    <row r="130" spans="1:5" ht="21" thickBot="1">
      <c r="A130" s="135" t="s">
        <v>21</v>
      </c>
      <c r="B130" s="136"/>
      <c r="C130" s="136"/>
      <c r="D130" s="136"/>
      <c r="E130" s="137"/>
    </row>
    <row r="131" spans="1:5" ht="18">
      <c r="A131" s="63" t="s">
        <v>55</v>
      </c>
      <c r="B131" s="64" t="s">
        <v>12</v>
      </c>
      <c r="C131" s="65">
        <v>1</v>
      </c>
      <c r="D131" s="66">
        <v>70000</v>
      </c>
      <c r="E131" s="67">
        <f>C131*D131</f>
        <v>70000</v>
      </c>
    </row>
    <row r="132" spans="1:5" ht="18">
      <c r="A132" s="68" t="s">
        <v>14</v>
      </c>
      <c r="B132" s="60" t="s">
        <v>12</v>
      </c>
      <c r="C132" s="61">
        <v>3</v>
      </c>
      <c r="D132" s="62">
        <v>30000</v>
      </c>
      <c r="E132" s="69">
        <f>C132*D132</f>
        <v>90000</v>
      </c>
    </row>
    <row r="133" spans="1:5" ht="18.75" thickBot="1">
      <c r="A133" s="70" t="s">
        <v>56</v>
      </c>
      <c r="B133" s="71" t="s">
        <v>12</v>
      </c>
      <c r="C133" s="72">
        <v>2</v>
      </c>
      <c r="D133" s="73">
        <v>16000</v>
      </c>
      <c r="E133" s="74">
        <f>C133*D133</f>
        <v>32000</v>
      </c>
    </row>
    <row r="134" spans="1:5" ht="44.25" customHeight="1" thickBot="1">
      <c r="A134" s="138" t="s">
        <v>22</v>
      </c>
      <c r="B134" s="139"/>
      <c r="C134" s="139"/>
      <c r="D134" s="140"/>
      <c r="E134" s="38">
        <f>SUM(E131:E133)</f>
        <v>192000</v>
      </c>
    </row>
    <row r="135" spans="1:5" ht="24.95" customHeight="1" thickBot="1">
      <c r="A135" s="141" t="s">
        <v>7</v>
      </c>
      <c r="B135" s="142"/>
      <c r="C135" s="142"/>
      <c r="D135" s="143"/>
      <c r="E135" s="46">
        <f>E128+E134+E129</f>
        <v>1899342</v>
      </c>
    </row>
    <row r="136" spans="1:5" ht="24.6" customHeight="1"/>
    <row r="137" spans="1:5" ht="39.950000000000003" customHeight="1"/>
    <row r="138" spans="1:5" ht="26.1" customHeight="1"/>
  </sheetData>
  <mergeCells count="26">
    <mergeCell ref="A130:E130"/>
    <mergeCell ref="A134:D134"/>
    <mergeCell ref="A135:D135"/>
    <mergeCell ref="A115:E115"/>
    <mergeCell ref="D6:E6"/>
    <mergeCell ref="D7:E7"/>
    <mergeCell ref="A10:E10"/>
    <mergeCell ref="A11:E11"/>
    <mergeCell ref="A93:E93"/>
    <mergeCell ref="A20:E20"/>
    <mergeCell ref="A128:D128"/>
    <mergeCell ref="A55:E55"/>
    <mergeCell ref="A19:E19"/>
    <mergeCell ref="A84:E84"/>
    <mergeCell ref="A129:D129"/>
    <mergeCell ref="A103:E103"/>
    <mergeCell ref="A73:E73"/>
    <mergeCell ref="A1:E1"/>
    <mergeCell ref="D3:E3"/>
    <mergeCell ref="D4:E4"/>
    <mergeCell ref="A41:E41"/>
    <mergeCell ref="A29:E29"/>
    <mergeCell ref="A16:E17"/>
    <mergeCell ref="A15:E15"/>
    <mergeCell ref="A14:E14"/>
    <mergeCell ref="D5:E5"/>
  </mergeCells>
  <pageMargins left="0.7" right="0.7" top="0.75" bottom="0.75" header="0.3" footer="0.3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KRD KRD</dc:creator>
  <cp:lastModifiedBy>Пользователь</cp:lastModifiedBy>
  <cp:revision/>
  <cp:lastPrinted>2024-10-07T09:33:14Z</cp:lastPrinted>
  <dcterms:created xsi:type="dcterms:W3CDTF">2024-03-16T18:53:19Z</dcterms:created>
  <dcterms:modified xsi:type="dcterms:W3CDTF">2026-03-06T14:50:10Z</dcterms:modified>
</cp:coreProperties>
</file>