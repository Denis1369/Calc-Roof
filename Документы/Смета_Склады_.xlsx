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Моя папка\Личка1\Расчеты_\037. Склад. Краснодар\"/>
    </mc:Choice>
  </mc:AlternateContent>
  <xr:revisionPtr revIDLastSave="0" documentId="13_ncr:1_{44E476FC-EE04-46EF-BF2C-F4FA4309703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Блок 1" sheetId="3" r:id="rId1"/>
    <sheet name="Блок 2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7" i="1" l="1"/>
  <c r="C237" i="3"/>
  <c r="C225" i="3"/>
  <c r="C166" i="1"/>
  <c r="C166" i="3"/>
  <c r="C110" i="3"/>
  <c r="C47" i="3"/>
  <c r="D250" i="1" l="1"/>
  <c r="D249" i="1"/>
  <c r="D248" i="1"/>
  <c r="D247" i="1"/>
  <c r="D246" i="1"/>
  <c r="D245" i="1"/>
  <c r="D242" i="1"/>
  <c r="D237" i="1"/>
  <c r="D234" i="1"/>
  <c r="D229" i="1"/>
  <c r="D228" i="1"/>
  <c r="D227" i="1"/>
  <c r="D226" i="1"/>
  <c r="D225" i="1"/>
  <c r="D224" i="1"/>
  <c r="D223" i="1"/>
  <c r="D220" i="1"/>
  <c r="D219" i="1"/>
  <c r="D214" i="1"/>
  <c r="D213" i="1"/>
  <c r="D212" i="1"/>
  <c r="D211" i="1"/>
  <c r="D210" i="1"/>
  <c r="D207" i="1"/>
  <c r="D206" i="1"/>
  <c r="D205" i="1"/>
  <c r="D200" i="1"/>
  <c r="D199" i="1"/>
  <c r="D198" i="1"/>
  <c r="D197" i="1"/>
  <c r="D196" i="1"/>
  <c r="D195" i="1"/>
  <c r="D192" i="1"/>
  <c r="D187" i="1"/>
  <c r="D186" i="1"/>
  <c r="D183" i="1"/>
  <c r="D178" i="1"/>
  <c r="D177" i="1"/>
  <c r="D176" i="1"/>
  <c r="D175" i="1"/>
  <c r="D174" i="1"/>
  <c r="D173" i="1"/>
  <c r="D172" i="1"/>
  <c r="D171" i="1"/>
  <c r="D170" i="1"/>
  <c r="D167" i="1"/>
  <c r="D166" i="1"/>
  <c r="D165" i="1"/>
  <c r="D160" i="1"/>
  <c r="D159" i="1"/>
  <c r="D158" i="1"/>
  <c r="D157" i="1"/>
  <c r="D156" i="1"/>
  <c r="D155" i="1"/>
  <c r="D154" i="1"/>
  <c r="D153" i="1"/>
  <c r="D150" i="1"/>
  <c r="D145" i="1"/>
  <c r="D144" i="1"/>
  <c r="D143" i="1"/>
  <c r="D142" i="1"/>
  <c r="D140" i="1"/>
  <c r="D135" i="1"/>
  <c r="D134" i="1"/>
  <c r="D131" i="1"/>
  <c r="D130" i="1"/>
  <c r="D125" i="1"/>
  <c r="D124" i="1"/>
  <c r="D123" i="1"/>
  <c r="D122" i="1"/>
  <c r="D121" i="1"/>
  <c r="D120" i="1"/>
  <c r="D119" i="1"/>
  <c r="D118" i="1"/>
  <c r="D117" i="1"/>
  <c r="D113" i="1"/>
  <c r="D112" i="1"/>
  <c r="D111" i="1"/>
  <c r="D110" i="1"/>
  <c r="D105" i="1"/>
  <c r="D104" i="1"/>
  <c r="D103" i="1"/>
  <c r="D102" i="1"/>
  <c r="D101" i="1"/>
  <c r="D100" i="1"/>
  <c r="D97" i="1"/>
  <c r="D96" i="1"/>
  <c r="D95" i="1"/>
  <c r="D94" i="1"/>
  <c r="D93" i="1"/>
  <c r="D92" i="1"/>
  <c r="D91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1" i="1"/>
  <c r="D70" i="1"/>
  <c r="D65" i="1"/>
  <c r="D64" i="1"/>
  <c r="D63" i="1"/>
  <c r="D62" i="1"/>
  <c r="D61" i="1"/>
  <c r="D58" i="1"/>
  <c r="D57" i="1"/>
  <c r="D56" i="1"/>
  <c r="D51" i="1"/>
  <c r="D50" i="1"/>
  <c r="D47" i="1"/>
  <c r="D42" i="1"/>
  <c r="D41" i="1"/>
  <c r="D40" i="1"/>
  <c r="D39" i="1"/>
  <c r="D38" i="1"/>
  <c r="D35" i="1"/>
  <c r="D34" i="1"/>
  <c r="D33" i="1"/>
  <c r="D32" i="1"/>
  <c r="D27" i="1"/>
  <c r="D26" i="1"/>
  <c r="D25" i="1"/>
  <c r="D22" i="1"/>
  <c r="E258" i="3"/>
  <c r="E257" i="3"/>
  <c r="E256" i="3"/>
  <c r="E259" i="3" s="1"/>
  <c r="E250" i="3"/>
  <c r="E249" i="3"/>
  <c r="E248" i="3"/>
  <c r="E247" i="3"/>
  <c r="E246" i="3"/>
  <c r="C245" i="3"/>
  <c r="E245" i="3" s="1"/>
  <c r="E251" i="3" s="1"/>
  <c r="E242" i="3"/>
  <c r="E243" i="3" s="1"/>
  <c r="E237" i="3"/>
  <c r="E234" i="3"/>
  <c r="C228" i="3"/>
  <c r="E228" i="3" s="1"/>
  <c r="E214" i="3"/>
  <c r="C213" i="3"/>
  <c r="E213" i="3" s="1"/>
  <c r="E212" i="3"/>
  <c r="C211" i="3"/>
  <c r="E211" i="3" s="1"/>
  <c r="C210" i="3"/>
  <c r="E210" i="3" s="1"/>
  <c r="E207" i="3"/>
  <c r="E206" i="3"/>
  <c r="E205" i="3"/>
  <c r="E208" i="3" s="1"/>
  <c r="C200" i="3"/>
  <c r="E200" i="3" s="1"/>
  <c r="C199" i="3"/>
  <c r="E199" i="3" s="1"/>
  <c r="E198" i="3"/>
  <c r="C198" i="3"/>
  <c r="E197" i="3"/>
  <c r="C197" i="3"/>
  <c r="C196" i="3"/>
  <c r="E196" i="3" s="1"/>
  <c r="C195" i="3"/>
  <c r="E195" i="3" s="1"/>
  <c r="E192" i="3"/>
  <c r="E193" i="3" s="1"/>
  <c r="E187" i="3"/>
  <c r="C186" i="3"/>
  <c r="E186" i="3" s="1"/>
  <c r="E188" i="3" s="1"/>
  <c r="E183" i="3"/>
  <c r="E184" i="3" s="1"/>
  <c r="E189" i="3" s="1"/>
  <c r="E178" i="3"/>
  <c r="E177" i="3"/>
  <c r="E176" i="3"/>
  <c r="C174" i="3"/>
  <c r="C175" i="3" s="1"/>
  <c r="E175" i="3" s="1"/>
  <c r="C173" i="3"/>
  <c r="E173" i="3" s="1"/>
  <c r="C172" i="3"/>
  <c r="E172" i="3" s="1"/>
  <c r="C170" i="3"/>
  <c r="C171" i="3" s="1"/>
  <c r="E171" i="3" s="1"/>
  <c r="D167" i="3"/>
  <c r="E167" i="3" s="1"/>
  <c r="E166" i="3"/>
  <c r="E165" i="3"/>
  <c r="C158" i="3"/>
  <c r="C159" i="3" s="1"/>
  <c r="E159" i="3" s="1"/>
  <c r="C157" i="3"/>
  <c r="C160" i="3" s="1"/>
  <c r="E160" i="3" s="1"/>
  <c r="C156" i="3"/>
  <c r="E156" i="3" s="1"/>
  <c r="C155" i="3"/>
  <c r="E155" i="3" s="1"/>
  <c r="C154" i="3"/>
  <c r="E154" i="3" s="1"/>
  <c r="E153" i="3"/>
  <c r="C153" i="3"/>
  <c r="E150" i="3"/>
  <c r="E151" i="3" s="1"/>
  <c r="E142" i="3"/>
  <c r="C142" i="3"/>
  <c r="C143" i="3" s="1"/>
  <c r="C140" i="3"/>
  <c r="E140" i="3" s="1"/>
  <c r="E141" i="3" s="1"/>
  <c r="E135" i="3"/>
  <c r="E131" i="3"/>
  <c r="C130" i="3"/>
  <c r="C134" i="3" s="1"/>
  <c r="C124" i="3"/>
  <c r="E121" i="3"/>
  <c r="E110" i="3"/>
  <c r="E103" i="3"/>
  <c r="C100" i="3"/>
  <c r="E100" i="3" s="1"/>
  <c r="D97" i="3"/>
  <c r="E97" i="3" s="1"/>
  <c r="E96" i="3"/>
  <c r="D95" i="3"/>
  <c r="C95" i="3"/>
  <c r="C97" i="3" s="1"/>
  <c r="C104" i="3" s="1"/>
  <c r="D94" i="3"/>
  <c r="E93" i="3"/>
  <c r="C92" i="3"/>
  <c r="C94" i="3" s="1"/>
  <c r="E94" i="3" s="1"/>
  <c r="E91" i="3"/>
  <c r="E86" i="3"/>
  <c r="E85" i="3"/>
  <c r="E84" i="3"/>
  <c r="E83" i="3"/>
  <c r="E87" i="3" s="1"/>
  <c r="E82" i="3"/>
  <c r="E81" i="3"/>
  <c r="E80" i="3"/>
  <c r="E79" i="3"/>
  <c r="E78" i="3"/>
  <c r="E77" i="3"/>
  <c r="E76" i="3"/>
  <c r="E75" i="3"/>
  <c r="E74" i="3"/>
  <c r="D71" i="3"/>
  <c r="C71" i="3"/>
  <c r="E71" i="3" s="1"/>
  <c r="E70" i="3"/>
  <c r="E72" i="3" s="1"/>
  <c r="C65" i="3"/>
  <c r="E65" i="3" s="1"/>
  <c r="C64" i="3"/>
  <c r="E64" i="3" s="1"/>
  <c r="C63" i="3"/>
  <c r="E63" i="3" s="1"/>
  <c r="C62" i="3"/>
  <c r="E62" i="3" s="1"/>
  <c r="C61" i="3"/>
  <c r="E61" i="3" s="1"/>
  <c r="E58" i="3"/>
  <c r="E47" i="3"/>
  <c r="E48" i="3" s="1"/>
  <c r="C41" i="3"/>
  <c r="E41" i="3" s="1"/>
  <c r="B41" i="3"/>
  <c r="C40" i="3"/>
  <c r="E40" i="3" s="1"/>
  <c r="B40" i="3"/>
  <c r="B39" i="3"/>
  <c r="C38" i="3"/>
  <c r="E38" i="3" s="1"/>
  <c r="E35" i="3"/>
  <c r="E34" i="3"/>
  <c r="C33" i="3"/>
  <c r="E33" i="3" s="1"/>
  <c r="E32" i="3"/>
  <c r="E36" i="3" s="1"/>
  <c r="C27" i="3"/>
  <c r="E27" i="3" s="1"/>
  <c r="C26" i="3"/>
  <c r="E26" i="3" s="1"/>
  <c r="C25" i="3"/>
  <c r="E25" i="3" s="1"/>
  <c r="E22" i="3"/>
  <c r="E23" i="3" s="1"/>
  <c r="C173" i="1"/>
  <c r="C174" i="1"/>
  <c r="C158" i="1"/>
  <c r="C159" i="1" s="1"/>
  <c r="C157" i="1"/>
  <c r="C160" i="1" s="1"/>
  <c r="C156" i="1"/>
  <c r="C155" i="1"/>
  <c r="C154" i="1"/>
  <c r="C153" i="1"/>
  <c r="C110" i="1"/>
  <c r="C124" i="1" s="1"/>
  <c r="C92" i="1"/>
  <c r="C63" i="1"/>
  <c r="C64" i="1"/>
  <c r="C47" i="1"/>
  <c r="C56" i="1" s="1"/>
  <c r="E215" i="3" l="1"/>
  <c r="E216" i="3" s="1"/>
  <c r="E168" i="3"/>
  <c r="E173" i="1"/>
  <c r="C111" i="3"/>
  <c r="E111" i="3" s="1"/>
  <c r="C112" i="3"/>
  <c r="E112" i="3" s="1"/>
  <c r="C113" i="3"/>
  <c r="E113" i="3" s="1"/>
  <c r="C116" i="3"/>
  <c r="C122" i="3" s="1"/>
  <c r="E122" i="3" s="1"/>
  <c r="C117" i="3"/>
  <c r="E117" i="3" s="1"/>
  <c r="C118" i="3"/>
  <c r="E118" i="3" s="1"/>
  <c r="C119" i="3"/>
  <c r="E119" i="3" s="1"/>
  <c r="C39" i="3"/>
  <c r="C42" i="3" s="1"/>
  <c r="E42" i="3" s="1"/>
  <c r="E66" i="3"/>
  <c r="C101" i="3"/>
  <c r="C51" i="3"/>
  <c r="E51" i="3" s="1"/>
  <c r="C56" i="3"/>
  <c r="C57" i="3" s="1"/>
  <c r="E57" i="3" s="1"/>
  <c r="E28" i="3"/>
  <c r="E29" i="3"/>
  <c r="E88" i="3"/>
  <c r="C123" i="3"/>
  <c r="E123" i="3" s="1"/>
  <c r="E201" i="3"/>
  <c r="C223" i="3"/>
  <c r="C220" i="3"/>
  <c r="E220" i="3" s="1"/>
  <c r="E162" i="3"/>
  <c r="E161" i="3"/>
  <c r="E124" i="3"/>
  <c r="C125" i="3"/>
  <c r="E125" i="3" s="1"/>
  <c r="E39" i="3"/>
  <c r="E132" i="3"/>
  <c r="E137" i="3" s="1"/>
  <c r="E202" i="3"/>
  <c r="C145" i="3"/>
  <c r="E145" i="3" s="1"/>
  <c r="E143" i="3"/>
  <c r="E170" i="3"/>
  <c r="E219" i="3"/>
  <c r="E56" i="3"/>
  <c r="E238" i="3"/>
  <c r="E235" i="3"/>
  <c r="E101" i="3"/>
  <c r="E106" i="3" s="1"/>
  <c r="C102" i="3"/>
  <c r="E102" i="3" s="1"/>
  <c r="E252" i="3"/>
  <c r="E134" i="3"/>
  <c r="E136" i="3" s="1"/>
  <c r="C144" i="3"/>
  <c r="E144" i="3" s="1"/>
  <c r="E114" i="3"/>
  <c r="C105" i="3"/>
  <c r="E105" i="3" s="1"/>
  <c r="E104" i="3"/>
  <c r="E146" i="3"/>
  <c r="E147" i="3" s="1"/>
  <c r="E92" i="3"/>
  <c r="E98" i="3" s="1"/>
  <c r="E157" i="3"/>
  <c r="D116" i="3"/>
  <c r="D116" i="1" s="1"/>
  <c r="E158" i="3"/>
  <c r="E130" i="3"/>
  <c r="E174" i="3"/>
  <c r="E95" i="3"/>
  <c r="C50" i="3"/>
  <c r="E50" i="3" s="1"/>
  <c r="E52" i="3" s="1"/>
  <c r="E53" i="3" s="1"/>
  <c r="C120" i="3"/>
  <c r="E120" i="3" s="1"/>
  <c r="E237" i="1"/>
  <c r="C234" i="1"/>
  <c r="E234" i="1"/>
  <c r="E238" i="1" s="1"/>
  <c r="E239" i="3" l="1"/>
  <c r="E116" i="3"/>
  <c r="E126" i="3" s="1"/>
  <c r="E43" i="3"/>
  <c r="E59" i="3"/>
  <c r="E67" i="3" s="1"/>
  <c r="C226" i="3"/>
  <c r="E226" i="3" s="1"/>
  <c r="E225" i="3"/>
  <c r="C224" i="3"/>
  <c r="E223" i="3"/>
  <c r="C229" i="3"/>
  <c r="E229" i="3" s="1"/>
  <c r="E107" i="3"/>
  <c r="E127" i="3"/>
  <c r="E44" i="3"/>
  <c r="E221" i="3"/>
  <c r="E179" i="3"/>
  <c r="E180" i="3" s="1"/>
  <c r="E253" i="3"/>
  <c r="E235" i="1"/>
  <c r="E239" i="1"/>
  <c r="E165" i="1"/>
  <c r="C113" i="1"/>
  <c r="C71" i="1"/>
  <c r="E71" i="1" s="1"/>
  <c r="E58" i="1"/>
  <c r="G253" i="3" l="1"/>
  <c r="C227" i="3"/>
  <c r="E227" i="3" s="1"/>
  <c r="E224" i="3"/>
  <c r="E230" i="3" s="1"/>
  <c r="C111" i="1"/>
  <c r="C112" i="1"/>
  <c r="C116" i="1"/>
  <c r="E250" i="1"/>
  <c r="E249" i="1"/>
  <c r="E248" i="1"/>
  <c r="E247" i="1"/>
  <c r="E246" i="1"/>
  <c r="E242" i="1"/>
  <c r="E243" i="1" s="1"/>
  <c r="E214" i="1"/>
  <c r="E212" i="1"/>
  <c r="E207" i="1"/>
  <c r="E206" i="1"/>
  <c r="E205" i="1"/>
  <c r="E192" i="1"/>
  <c r="E193" i="1" s="1"/>
  <c r="E187" i="1"/>
  <c r="E183" i="1"/>
  <c r="E184" i="1" s="1"/>
  <c r="E176" i="1"/>
  <c r="E177" i="1"/>
  <c r="E178" i="1"/>
  <c r="E167" i="1"/>
  <c r="E166" i="1"/>
  <c r="E150" i="1"/>
  <c r="E151" i="1" s="1"/>
  <c r="E135" i="1"/>
  <c r="E131" i="1"/>
  <c r="E103" i="1"/>
  <c r="E96" i="1"/>
  <c r="E93" i="1"/>
  <c r="E91" i="1"/>
  <c r="E77" i="1"/>
  <c r="E70" i="1"/>
  <c r="E72" i="1" s="1"/>
  <c r="E35" i="1"/>
  <c r="E34" i="1"/>
  <c r="E32" i="1"/>
  <c r="E22" i="1"/>
  <c r="C219" i="1"/>
  <c r="C220" i="1" s="1"/>
  <c r="E220" i="1" s="1"/>
  <c r="C213" i="1"/>
  <c r="E213" i="1" s="1"/>
  <c r="C211" i="1"/>
  <c r="E211" i="1" s="1"/>
  <c r="C210" i="1"/>
  <c r="E210" i="1" s="1"/>
  <c r="C197" i="1"/>
  <c r="C199" i="1" s="1"/>
  <c r="E199" i="1" s="1"/>
  <c r="C200" i="1"/>
  <c r="E200" i="1" s="1"/>
  <c r="E155" i="1"/>
  <c r="C196" i="1"/>
  <c r="E196" i="1" s="1"/>
  <c r="C195" i="1"/>
  <c r="E195" i="1" s="1"/>
  <c r="C186" i="1"/>
  <c r="E186" i="1" s="1"/>
  <c r="C175" i="1"/>
  <c r="E175" i="1" s="1"/>
  <c r="C172" i="1"/>
  <c r="E172" i="1" s="1"/>
  <c r="C170" i="1"/>
  <c r="C171" i="1" s="1"/>
  <c r="E171" i="1" s="1"/>
  <c r="E159" i="1"/>
  <c r="E157" i="1"/>
  <c r="E156" i="1"/>
  <c r="E154" i="1"/>
  <c r="E153" i="1"/>
  <c r="E86" i="1"/>
  <c r="E85" i="1"/>
  <c r="E84" i="1"/>
  <c r="E83" i="1"/>
  <c r="E82" i="1"/>
  <c r="E81" i="1"/>
  <c r="E80" i="1"/>
  <c r="E79" i="1"/>
  <c r="E78" i="1"/>
  <c r="E76" i="1"/>
  <c r="E75" i="1"/>
  <c r="E74" i="1"/>
  <c r="E231" i="3" l="1"/>
  <c r="E254" i="3"/>
  <c r="E260" i="3" s="1"/>
  <c r="C122" i="1"/>
  <c r="E208" i="1"/>
  <c r="E168" i="1"/>
  <c r="E188" i="1"/>
  <c r="E87" i="1"/>
  <c r="E215" i="1"/>
  <c r="E197" i="1"/>
  <c r="E88" i="1"/>
  <c r="E158" i="1"/>
  <c r="E189" i="1"/>
  <c r="E170" i="1"/>
  <c r="E219" i="1"/>
  <c r="E221" i="1" s="1"/>
  <c r="E174" i="1"/>
  <c r="C228" i="1"/>
  <c r="E228" i="1" s="1"/>
  <c r="C223" i="1"/>
  <c r="E223" i="1" s="1"/>
  <c r="C198" i="1"/>
  <c r="E198" i="1" s="1"/>
  <c r="E201" i="1" s="1"/>
  <c r="E202" i="1" s="1"/>
  <c r="E160" i="1"/>
  <c r="E161" i="1" s="1"/>
  <c r="E162" i="1" s="1"/>
  <c r="E261" i="3" l="1"/>
  <c r="G261" i="3" s="1"/>
  <c r="G260" i="3"/>
  <c r="E216" i="1"/>
  <c r="E179" i="1"/>
  <c r="E180" i="1" s="1"/>
  <c r="C229" i="1"/>
  <c r="E229" i="1" s="1"/>
  <c r="C226" i="1"/>
  <c r="E226" i="1" s="1"/>
  <c r="C224" i="1"/>
  <c r="E224" i="1" s="1"/>
  <c r="C225" i="1"/>
  <c r="E225" i="1" s="1"/>
  <c r="C227" i="1" l="1"/>
  <c r="E227" i="1" s="1"/>
  <c r="E230" i="1" s="1"/>
  <c r="E231" i="1" s="1"/>
  <c r="C130" i="1" l="1"/>
  <c r="C134" i="1" l="1"/>
  <c r="C144" i="1" s="1"/>
  <c r="C140" i="1"/>
  <c r="C51" i="1"/>
  <c r="E140" i="1"/>
  <c r="E141" i="1" s="1"/>
  <c r="E130" i="1"/>
  <c r="E132" i="1" s="1"/>
  <c r="C142" i="1"/>
  <c r="E142" i="1" s="1"/>
  <c r="E144" i="1" l="1"/>
  <c r="E134" i="1"/>
  <c r="E136" i="1" s="1"/>
  <c r="E137" i="1" s="1"/>
  <c r="E110" i="1"/>
  <c r="C38" i="1"/>
  <c r="E38" i="1" s="1"/>
  <c r="C33" i="1"/>
  <c r="E33" i="1" s="1"/>
  <c r="E36" i="1" s="1"/>
  <c r="C95" i="1"/>
  <c r="C97" i="1" l="1"/>
  <c r="C104" i="1" s="1"/>
  <c r="E95" i="1"/>
  <c r="C94" i="1"/>
  <c r="E92" i="1"/>
  <c r="C117" i="1"/>
  <c r="E117" i="1" s="1"/>
  <c r="C118" i="1"/>
  <c r="E118" i="1" s="1"/>
  <c r="C120" i="1"/>
  <c r="E120" i="1" s="1"/>
  <c r="E111" i="1"/>
  <c r="E113" i="1"/>
  <c r="C119" i="1"/>
  <c r="E119" i="1" s="1"/>
  <c r="E94" i="1" l="1"/>
  <c r="C101" i="1"/>
  <c r="C102" i="1" s="1"/>
  <c r="E121" i="1"/>
  <c r="E112" i="1"/>
  <c r="E114" i="1" s="1"/>
  <c r="E102" i="1"/>
  <c r="E101" i="1"/>
  <c r="E122" i="1"/>
  <c r="E116" i="1"/>
  <c r="E97" i="1"/>
  <c r="E98" i="1" s="1"/>
  <c r="E63" i="1"/>
  <c r="E47" i="1"/>
  <c r="E48" i="1" s="1"/>
  <c r="C41" i="1"/>
  <c r="E41" i="1" s="1"/>
  <c r="C40" i="1"/>
  <c r="E40" i="1" s="1"/>
  <c r="C39" i="1"/>
  <c r="E39" i="1" s="1"/>
  <c r="B41" i="1"/>
  <c r="B40" i="1"/>
  <c r="B39" i="1"/>
  <c r="C65" i="1" l="1"/>
  <c r="E65" i="1" s="1"/>
  <c r="E64" i="1"/>
  <c r="E104" i="1"/>
  <c r="C105" i="1"/>
  <c r="E105" i="1" s="1"/>
  <c r="C57" i="1"/>
  <c r="E51" i="1"/>
  <c r="C100" i="1"/>
  <c r="E100" i="1" s="1"/>
  <c r="C61" i="1"/>
  <c r="E61" i="1" s="1"/>
  <c r="C42" i="1"/>
  <c r="E42" i="1" s="1"/>
  <c r="E43" i="1" s="1"/>
  <c r="C50" i="1"/>
  <c r="E50" i="1" s="1"/>
  <c r="E52" i="1" s="1"/>
  <c r="E53" i="1" s="1"/>
  <c r="E44" i="1" l="1"/>
  <c r="E106" i="1"/>
  <c r="E107" i="1" s="1"/>
  <c r="E57" i="1"/>
  <c r="E56" i="1"/>
  <c r="C26" i="1"/>
  <c r="E26" i="1" s="1"/>
  <c r="C27" i="1"/>
  <c r="E27" i="1" s="1"/>
  <c r="C25" i="1"/>
  <c r="E25" i="1" s="1"/>
  <c r="E23" i="1"/>
  <c r="E28" i="1" l="1"/>
  <c r="E29" i="1" s="1"/>
  <c r="E59" i="1"/>
  <c r="E253" i="1" s="1"/>
  <c r="C62" i="1"/>
  <c r="E62" i="1" s="1"/>
  <c r="E66" i="1" s="1"/>
  <c r="E258" i="1"/>
  <c r="E257" i="1"/>
  <c r="E256" i="1"/>
  <c r="E67" i="1" l="1"/>
  <c r="E259" i="1"/>
  <c r="E124" i="1" l="1"/>
  <c r="C245" i="1"/>
  <c r="E245" i="1" s="1"/>
  <c r="E251" i="1" s="1"/>
  <c r="E252" i="1" s="1"/>
  <c r="C125" i="1" l="1"/>
  <c r="E125" i="1" s="1"/>
  <c r="C143" i="1"/>
  <c r="E143" i="1" s="1"/>
  <c r="C145" i="1" l="1"/>
  <c r="E145" i="1" s="1"/>
  <c r="E146" i="1" s="1"/>
  <c r="E147" i="1" s="1"/>
  <c r="C123" i="1"/>
  <c r="E123" i="1" s="1"/>
  <c r="E126" i="1" s="1"/>
  <c r="E254" i="1" s="1"/>
  <c r="E127" i="1" l="1"/>
  <c r="G253" i="1"/>
  <c r="E260" i="1" l="1"/>
  <c r="G260" i="1" l="1"/>
  <c r="E261" i="1"/>
  <c r="G261" i="1" s="1"/>
</calcChain>
</file>

<file path=xl/sharedStrings.xml><?xml version="1.0" encoding="utf-8"?>
<sst xmlns="http://schemas.openxmlformats.org/spreadsheetml/2006/main" count="797" uniqueCount="175">
  <si>
    <t>Ед.изм.</t>
  </si>
  <si>
    <t>Кол-во</t>
  </si>
  <si>
    <t>Работы:</t>
  </si>
  <si>
    <t>м2</t>
  </si>
  <si>
    <t>Итого за работы:</t>
  </si>
  <si>
    <t>ИТОГО по Разделу:</t>
  </si>
  <si>
    <t>м/п</t>
  </si>
  <si>
    <t>Итого общая сумма по всем разделам:</t>
  </si>
  <si>
    <t>Согласовано</t>
  </si>
  <si>
    <t>Утверждаю</t>
  </si>
  <si>
    <t>«Подрядчик»</t>
  </si>
  <si>
    <t>«Заказчик»</t>
  </si>
  <si>
    <t>ед</t>
  </si>
  <si>
    <t>Подъемы и механизмы:</t>
  </si>
  <si>
    <t>ИТОГО по Разделам монтажные работы кровля из ПВХ-мембраны:</t>
  </si>
  <si>
    <t>ООО «»</t>
  </si>
  <si>
    <t xml:space="preserve">ИНН / КПП </t>
  </si>
  <si>
    <t>Ген. Директор________________  ()</t>
  </si>
  <si>
    <t>Наименование работ</t>
  </si>
  <si>
    <t>Устройство гидроизоляционного покрытия из ПВХ-мембраны по плоскости</t>
  </si>
  <si>
    <t>Накладные, транспортные, организационные и утилизационные расходы:</t>
  </si>
  <si>
    <t>ИТОГО по Разделам накладные, транспортные, организационные и утилизационные расходы:</t>
  </si>
  <si>
    <t>Устройство прижимной и краевой алюминиевой планки</t>
  </si>
  <si>
    <t>УСТРОЙСТВО КРОВЕЛЬНОЙ СИСТЕМЫ ИЗ ПВХ-МЕМБРАНЫ</t>
  </si>
  <si>
    <t>ООО «СК-ЮГ»</t>
  </si>
  <si>
    <t>ИНН / КПП 2312330110/ 231201001</t>
  </si>
  <si>
    <t>Ген. Директор________________  (Панюков А.А.)</t>
  </si>
  <si>
    <t>Приложение №____ к Договору подряда № _____ от _________ г.</t>
  </si>
  <si>
    <t>СМЕТА №___</t>
  </si>
  <si>
    <t>по Договору подряда № __________ от ___________ г.</t>
  </si>
  <si>
    <t>Цена за ед. без НДС</t>
  </si>
  <si>
    <t>Сумма без НДС</t>
  </si>
  <si>
    <t xml:space="preserve">Устройство пароизоляционного слоя </t>
  </si>
  <si>
    <t>Устройство пароизоляционного слоя из пароизоляционной пленки</t>
  </si>
  <si>
    <t>Устройство карнизного свеса и его гидроизоляция</t>
  </si>
  <si>
    <t>Устройство разделительного слоя из стеклохолста</t>
  </si>
  <si>
    <t>Монтаж бруса, 100*100</t>
  </si>
  <si>
    <t>Монтаж металлического водосточного желоба</t>
  </si>
  <si>
    <t>Устройство примыкания к карнизному свесу</t>
  </si>
  <si>
    <t>Устройство гидроизоляции примыканий к парапетам из ПВХ-мембраны на высоту не более 450 мм, с окончанием примыкания через кревую рейку</t>
  </si>
  <si>
    <t>Устройство заполнения гофр профлиста НГ утеплителем на длину 250 мм (на две продольной волны или 250 мм в каждую волну по поперечным волнам)</t>
  </si>
  <si>
    <t>Устройство вертикальной водосточной трубы</t>
  </si>
  <si>
    <t>Монтаж вертикальной водосточной трубы, 3,7 м</t>
  </si>
  <si>
    <t>Организационные и транспортные расходы:</t>
  </si>
  <si>
    <t xml:space="preserve">Вывоз мусора </t>
  </si>
  <si>
    <t>Материалы:</t>
  </si>
  <si>
    <t>шт</t>
  </si>
  <si>
    <t>Итого за материалы:</t>
  </si>
  <si>
    <t>Пароизоляционная пленка ТехноНИКОЛЬ</t>
  </si>
  <si>
    <t>Двусторонний скотч</t>
  </si>
  <si>
    <t>Телескопический крепеж TERMOCLIP 1, 130 мм</t>
  </si>
  <si>
    <t>Саморез сверлоконечный ТехноНИКОЛЬ 4,8х60 мм</t>
  </si>
  <si>
    <t>ПВХ мембрана, толщиной 1,5 мм.</t>
  </si>
  <si>
    <t>Брус, 100*100</t>
  </si>
  <si>
    <t>Кровельный саморез 6,3*130 мм</t>
  </si>
  <si>
    <t>Круглый тарельчатый держатель</t>
  </si>
  <si>
    <t>Водосточный желоб</t>
  </si>
  <si>
    <t>Металлический костыль</t>
  </si>
  <si>
    <t>Оцинкованные анодированные саморезы размером 5×40 мм</t>
  </si>
  <si>
    <t>мп</t>
  </si>
  <si>
    <t>Саморезы по дереву диаметром 3–4 мм длиной 35 мм</t>
  </si>
  <si>
    <t>м3</t>
  </si>
  <si>
    <t xml:space="preserve">Мин. плита Технолайт Экстра 1200х600х100мм </t>
  </si>
  <si>
    <t>Очиститель для ПВХ мембраны, 3 л.</t>
  </si>
  <si>
    <t>Армированная ПВХ мембрана Logicroof V-RP (или аналог) толщиной 1,5 мм</t>
  </si>
  <si>
    <t xml:space="preserve">Неармированная ПВХ мембрана V-SR толщиной 1,5 мм </t>
  </si>
  <si>
    <t>рул.</t>
  </si>
  <si>
    <t>Прижимная кровельная планка алюминиевая 30*2000мм</t>
  </si>
  <si>
    <t>Краевая кровельная планка алюминиевая 30*2000мм</t>
  </si>
  <si>
    <t>ПУ герметик</t>
  </si>
  <si>
    <t>Крепеж кровельный ТехноНИКОЛЬ (саморез 5,5*35)</t>
  </si>
  <si>
    <t>Монтаж прижимной и краевой кровельной планки</t>
  </si>
  <si>
    <t xml:space="preserve">Отводы  для водосточного желоба </t>
  </si>
  <si>
    <t>Сливное колено</t>
  </si>
  <si>
    <t>Хомут для крепления водосточной трубы к стене</t>
  </si>
  <si>
    <t>Крепежный элемент для хомута (крепление к стене)</t>
  </si>
  <si>
    <t>ИТОГО по Разделам материалы:</t>
  </si>
  <si>
    <t>Наименование объекта: «Склад хранения сельскохозяйственной продукции
на земельном участке с кадастровым номером 23:43:0429001:1003»</t>
  </si>
  <si>
    <t>Адрес: г. Краснодар</t>
  </si>
  <si>
    <t>Монтаж профилированного листа</t>
  </si>
  <si>
    <t>Монтаж профилированного листа Н75-750-0,8</t>
  </si>
  <si>
    <t>Устройство L-образного профиля и профилей усиления</t>
  </si>
  <si>
    <t>Устройство профилей усиления (коньковые усиления, усиления ендов)</t>
  </si>
  <si>
    <t xml:space="preserve">Устройство профилей усиления деф. шва </t>
  </si>
  <si>
    <t>Профилированный лист Н75-750-0,8</t>
  </si>
  <si>
    <t>Саморез для профлиста HARPOON HE5-R 5,5х32 углеродистая сталь SAE 1022 (1,2 шт/м2)</t>
  </si>
  <si>
    <t xml:space="preserve">Заклепка вытяжная комбинированная 4,8х20 мм </t>
  </si>
  <si>
    <t>L-образный профиль</t>
  </si>
  <si>
    <t>Профиль усиления (коньковые усиления, усиления ендов)</t>
  </si>
  <si>
    <t>Профиль усиления деф. шва</t>
  </si>
  <si>
    <t>Саморез кровельный 4.8х29 сверлоконечный шайба EPDM</t>
  </si>
  <si>
    <t>Устройство комбинированного теплоизоляционного слоя из ПИР + ПИР (в два слоя), общей толщиной 80 мм</t>
  </si>
  <si>
    <t>Устройство комбинированного утеплителя (ПИР 40 мм + ПИР 40 мм) 2 слоя с разбежкой швов, с общей толщиной 80 мм</t>
  </si>
  <si>
    <t>Теплоизоляционный материал ПИР 40 мм</t>
  </si>
  <si>
    <t>Телескопический крепеж TERMOCLIP 1, 60 мм</t>
  </si>
  <si>
    <t>Саморез остроконечный ТехноНИКОЛЬ 4,8х80 мм</t>
  </si>
  <si>
    <t>Анкерный элемент 8*45</t>
  </si>
  <si>
    <t>Монтаж гидроизоляционного покрытия из ПВХ мембраны шириной 2 м, с продольным нахлестом не менее 120 мм и поперечным не менее 200 мм по профлисту</t>
  </si>
  <si>
    <t>Монтаж гидроизоляционного покрытия из ПВХ мембраны шириной 1 м, с продольным нахлестом не менее 120 мм и поперечным не менее 200 мм по профлисту с учетом ветровых зон по профлисту</t>
  </si>
  <si>
    <t>Механическое крепление гидроизоляционного слоя по профлисту</t>
  </si>
  <si>
    <t>Монтаж гидроизоляционного покрытия из ПВХ мембраны шириной 2 м, с продольным нахлестом не менее 120 мм и поперечным не менее 200 мм по ж/б</t>
  </si>
  <si>
    <t>Монтаж гидроизоляционного покрытия из ПВХ мембраны шириной 1 м, с продольным нахлестом не менее 120 мм и поперечным не менее 200 мм по профлисту с учетом ветровых зон по ж/б</t>
  </si>
  <si>
    <t>Механическое крепление гидроизоляционного слоя по ж/б</t>
  </si>
  <si>
    <t>Устройство гидроизоляции примыканий к парапетам из ПВХ-мембраны на высоту не более 450 мм, с окончанием примыкания через кревую рейку по сэндвич-панелям</t>
  </si>
  <si>
    <t>Устройство гидроизоляции примыканий к парапетам из ПВХ-мембраны на высоту не более 450 мм, с окончанием примыкания через кревую рейку по ж/б плитам</t>
  </si>
  <si>
    <t>Прижимная рейка</t>
  </si>
  <si>
    <t>Монтаж капельника из металла</t>
  </si>
  <si>
    <t>Металлический капельник</t>
  </si>
  <si>
    <r>
      <rPr>
        <i/>
        <sz val="11"/>
        <rFont val="Arial"/>
        <family val="2"/>
      </rPr>
      <t>Работы:</t>
    </r>
  </si>
  <si>
    <r>
      <rPr>
        <sz val="12"/>
        <rFont val="Arial"/>
        <family val="2"/>
      </rPr>
      <t>м2</t>
    </r>
  </si>
  <si>
    <r>
      <rPr>
        <b/>
        <i/>
        <sz val="12"/>
        <rFont val="Arial"/>
        <family val="2"/>
      </rPr>
      <t>Итого за работы:</t>
    </r>
  </si>
  <si>
    <r>
      <rPr>
        <sz val="12"/>
        <rFont val="Arial"/>
        <family val="2"/>
      </rPr>
      <t>170,00 ₽</t>
    </r>
  </si>
  <si>
    <t>Кратно упаковке</t>
  </si>
  <si>
    <r>
      <rPr>
        <b/>
        <i/>
        <sz val="12"/>
        <rFont val="Arial"/>
        <family val="2"/>
      </rPr>
      <t>ИТОГО по Разделу:</t>
    </r>
  </si>
  <si>
    <t>Устройство контруклона по основанию из ж/б плит покрытия клиновидными теплоизоляционными плитами из XPS</t>
  </si>
  <si>
    <t>XPS CARBON PROF SLOPE (10-60 mm)(4.2 % элемент J)</t>
  </si>
  <si>
    <t>XPS CARBON PROF SLOPE (10-60 mm)(4.2 % элемент K)</t>
  </si>
  <si>
    <t>XPS CARBON PROF SLOPE (10-60 mm)(4.2 % элемент D), 50 мм</t>
  </si>
  <si>
    <t>Телескопический крепеж TERMOCLIP 1, 80 мм</t>
  </si>
  <si>
    <t>Телескопический крепеж TERMOCLIP 1, 100 мм</t>
  </si>
  <si>
    <t>Телескопический крепеж TERMOCLIP 1, 140 мм</t>
  </si>
  <si>
    <t>Телескопический крепеж TERMOCLIP 1, 150 мм</t>
  </si>
  <si>
    <t>Телескопический крепеж TERMOCLIP 1, 180 мм</t>
  </si>
  <si>
    <t>Телескопический крепеж TERMOCLIP 1, 200 мм</t>
  </si>
  <si>
    <t>Саморез остроконечный ТехноНИКОЛЬ 4,8х 120 мм</t>
  </si>
  <si>
    <t>Саморез остроконечный ТехноНИКОЛЬ 4,8х 160 мм</t>
  </si>
  <si>
    <t>Анкерный элемент TERMOCLIP 8*45мм</t>
  </si>
  <si>
    <t>м³</t>
  </si>
  <si>
    <r>
      <rPr>
        <b/>
        <sz val="14"/>
        <rFont val="Arial"/>
        <family val="2"/>
      </rPr>
      <t>Устройство гидроизоляции стоек фахверка с утеплением</t>
    </r>
  </si>
  <si>
    <r>
      <rPr>
        <sz val="12"/>
        <rFont val="Arial"/>
        <family val="2"/>
      </rPr>
      <t>шт</t>
    </r>
  </si>
  <si>
    <r>
      <t xml:space="preserve">Устройство примыканий к стойкам фахверка с утеплением по </t>
    </r>
    <r>
      <rPr>
        <sz val="12"/>
        <rFont val="Arial"/>
        <family val="2"/>
        <charset val="204"/>
      </rPr>
      <t>парапету из ж/б</t>
    </r>
  </si>
  <si>
    <t>Плиты минераловатные ТЕХНОРУФ Н ПРОФ (3 плиты) 1200х600х100 мм</t>
  </si>
  <si>
    <t>ПВХ Logicroof V-RP 1,2 мм мембрана серая 2,10x25 м</t>
  </si>
  <si>
    <t>ПВХ Logicroof V-SR 1,5 мм мембрана серая 2 шт. 1x10 м</t>
  </si>
  <si>
    <t>Саморез остроконечный ТехноНИКОЛЬ 4,8*50 (500 шт/уп)</t>
  </si>
  <si>
    <t>Рейка краевая алюминиевая TERMOCLIP LITE 2 м (100 п.м./упак)</t>
  </si>
  <si>
    <t>Анкерный элемент TERMOCLIP 8*45мм (2500шт/кор)</t>
  </si>
  <si>
    <t>Саморез остроконечный ТехноНИКОЛЬ 5,5*35 (1000 шт/уп)</t>
  </si>
  <si>
    <t>Герметик ТЕХНОНИКОЛЬ ПУ MASTER, серый, туба 600 мл</t>
  </si>
  <si>
    <t>пог. м</t>
  </si>
  <si>
    <r>
      <rPr>
        <sz val="12"/>
        <rFont val="Arial"/>
        <family val="2"/>
      </rPr>
      <t>Устройство примыканий к люкам дымоудаления</t>
    </r>
  </si>
  <si>
    <t>Устройство контруклона из клиновидных плит XPS 4,2 %</t>
  </si>
  <si>
    <t>Устройство контруклона из клиновидных плит XPS 4,2 % около люков дымоудаления</t>
  </si>
  <si>
    <t>Саморез сверлоконечный TERMOCLIP 4,8х 100 мм</t>
  </si>
  <si>
    <t>Устройство противопожарных рассечек 2*2 м вокруг зенитных фонарей, люков дымоудаления и дефлекторов из защитного материала NG</t>
  </si>
  <si>
    <r>
      <rPr>
        <sz val="12"/>
        <rFont val="Arial"/>
        <family val="2"/>
      </rPr>
      <t>Устройство противопожарных рассечек 2*2 м вокруг зенитных фонарей, люков дымоудаления и дефлекторов из защитного материала NG</t>
    </r>
  </si>
  <si>
    <t>NG</t>
  </si>
  <si>
    <t xml:space="preserve">Очиститель для ПВХ, 3 л. </t>
  </si>
  <si>
    <t>Устройство примыканий к ОВ и ВК</t>
  </si>
  <si>
    <r>
      <rPr>
        <b/>
        <sz val="14"/>
        <rFont val="Arial"/>
        <family val="2"/>
      </rPr>
      <t>Устройство водоприемных воронок</t>
    </r>
  </si>
  <si>
    <t>Монтаж воронок внутреннего водоотведения</t>
  </si>
  <si>
    <t>Монтаж воронок наружнего водоотведения</t>
  </si>
  <si>
    <t>Воронка кровельная с обогревом TERMOCLIP ВФО Ø110х450мм</t>
  </si>
  <si>
    <t>Очиститель для ПВХ мембран, 3 кг</t>
  </si>
  <si>
    <t>Монтаж кабельной системы противообледенения</t>
  </si>
  <si>
    <t>пог. м.</t>
  </si>
  <si>
    <t>Прогевочный кабель противообледенения</t>
  </si>
  <si>
    <t>Монаж ограждающей конструкции и примыкание к стойкам ограждения</t>
  </si>
  <si>
    <t>Кровельное ограждение ТехноНИКОЛЬ ККО/СК/600-2</t>
  </si>
  <si>
    <t>Монтаж ограждающей конструкции</t>
  </si>
  <si>
    <t>Монтаж примыканий к стойкам ограждения</t>
  </si>
  <si>
    <t>Хомут</t>
  </si>
  <si>
    <t>Механическое крепление теплоизоляционного слоя по профлисту</t>
  </si>
  <si>
    <t>Механическое крепление теплоизоляционного слоя по ж/б</t>
  </si>
  <si>
    <t>Механическое крепление клиновидного утеплителя</t>
  </si>
  <si>
    <t>Монтаж люков дымоудалений и устройство примыканий к люкам дымоудаления</t>
  </si>
  <si>
    <t>Монта люка дымоудаления</t>
  </si>
  <si>
    <t xml:space="preserve">Устройство ПВХ дорожки из Logicroof Walkway Puzzle </t>
  </si>
  <si>
    <t xml:space="preserve"> ПВХ дорожки из Logicroof Walkway Puzzle </t>
  </si>
  <si>
    <t xml:space="preserve">Заполнение гофр профлиста НГ утеплителем на ширину 250 мм и L-образного профиля в местах парапета, а также профилей усиления в ендове и на коньках </t>
  </si>
  <si>
    <t>Итого общая сумма по всем разделам с НДС 22%:</t>
  </si>
  <si>
    <t>р/м2</t>
  </si>
  <si>
    <t>Наименование объекта: «Склад хранения сельскохозяйственной продукции
на земельном участке с кадастровым номером 23:43:0429001:475»</t>
  </si>
  <si>
    <r>
      <rPr>
        <b/>
        <sz val="18"/>
        <color theme="1"/>
        <rFont val="Arial"/>
        <family val="2"/>
        <charset val="204"/>
      </rPr>
      <t>Данные крыши:</t>
    </r>
    <r>
      <rPr>
        <b/>
        <sz val="16"/>
        <color theme="1"/>
        <rFont val="Arial"/>
        <family val="2"/>
        <charset val="204"/>
      </rPr>
      <t xml:space="preserve">
Площадь кровли по профлисту = 10 310,5 м2;
Примыкания к карнизному свесу = 426 пог.м;
Примыкания к парапету по сендвич панели = 96 пог.м;
Площадь кровли по ж/б = 337,3 м2;
Примыкания к парапету по ж/б панели = 76,2 пог.м;
Суммарная площадь контруклонов по ж/б основанию = 96 м2;
Кол-во фахверков = 18 шт;
Количество люков дымоудаления = 14 шт.;
Монтаж не горючего материала = 371 м2;
Система ОВ = 4 шт.; ВК = 1 шт. = 7,2 пог. м.;
Водоотведение внутреннее по ж/б = 3 шт.;
Водоотведение наружнее = 40 шт.;
Кабельная система противообледенения L = 325 пог.м.
Ограждение h=600 мм = 425 пог. м;
Кол-во стоек ограждения = 425 шт.;
Кол-во пешеходных дорожек = 436 пог. м.</t>
    </r>
  </si>
  <si>
    <r>
      <rPr>
        <b/>
        <sz val="18"/>
        <color theme="1"/>
        <rFont val="Arial"/>
        <family val="2"/>
        <charset val="204"/>
      </rPr>
      <t>Данные крыши:</t>
    </r>
    <r>
      <rPr>
        <b/>
        <sz val="16"/>
        <color theme="1"/>
        <rFont val="Arial"/>
        <family val="2"/>
        <charset val="204"/>
      </rPr>
      <t xml:space="preserve">
Площадь кровли по профлисту = 6 477,4 м2;
Примыкания к карнизному свесу = 364 пог.м;
Примыкания к парапету по сендвич панели = 96 пог.м;
Площадь кровли по ж/б = 337,3 м2;
Примыкания к парапету по ж/б панели = 76,2 пог.м;
Суммарная площадь контруклонов по ж/б основанию = 96 м2;
Кол-во фахверков = 18 шт;
Количество люков дымоудаления = 8 шт.;
Монтаж не горючего материала = 212 м2;
Система ОВ = 4 шт.; ВК = 1 шт. = 7,2 пог. м.;
Водоотведение внутреннее по ж/б = 3 шт.;
Водоотведение наружнее = 24 шт.;
Кабельная система противообледенения L = 0 пог.м.
Ограждение h=600 мм = 266 пог. м;
Кол-во стоек ограждения = 266 шт.;
Кол-во пешеходных дорожек = 265,45 пог. 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</si>
</sst>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#,##0.00\ &quot;₽&quot;"/>
  </numFmts>
  <fonts count="25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sz val="12"/>
      <name val="Arial"/>
      <family val="2"/>
      <charset val="204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name val="Arial"/>
      <family val="2"/>
      <charset val="204"/>
    </font>
    <font>
      <sz val="14"/>
      <color theme="1"/>
      <name val="Aptos Narrow"/>
      <family val="2"/>
      <scheme val="minor"/>
    </font>
    <font>
      <i/>
      <sz val="11"/>
      <name val="Arial"/>
      <family val="2"/>
      <charset val="204"/>
    </font>
    <font>
      <i/>
      <sz val="1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i/>
      <sz val="12"/>
      <name val="Arial"/>
      <family val="2"/>
      <charset val="204"/>
    </font>
    <font>
      <b/>
      <i/>
      <sz val="12"/>
      <name val="Arial"/>
      <family val="2"/>
    </font>
    <font>
      <b/>
      <sz val="14"/>
      <name val="Arial"/>
      <family val="2"/>
    </font>
    <font>
      <b/>
      <sz val="11"/>
      <color theme="1"/>
      <name val="Aptos Narrow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5C5AB"/>
      </patternFill>
    </fill>
    <fill>
      <patternFill patternType="solid">
        <fgColor rgb="FFDAF1D0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24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/>
    <xf numFmtId="0" fontId="4" fillId="0" borderId="8" xfId="0" applyFont="1" applyBorder="1" applyAlignment="1">
      <alignment wrapText="1"/>
    </xf>
    <xf numFmtId="0" fontId="4" fillId="4" borderId="8" xfId="0" applyFont="1" applyFill="1" applyBorder="1" applyAlignment="1">
      <alignment wrapText="1"/>
    </xf>
    <xf numFmtId="2" fontId="4" fillId="4" borderId="8" xfId="0" applyNumberFormat="1" applyFont="1" applyFill="1" applyBorder="1" applyAlignment="1">
      <alignment horizontal="right" wrapText="1"/>
    </xf>
    <xf numFmtId="0" fontId="4" fillId="5" borderId="8" xfId="0" applyFont="1" applyFill="1" applyBorder="1" applyAlignment="1">
      <alignment wrapText="1"/>
    </xf>
    <xf numFmtId="164" fontId="4" fillId="0" borderId="8" xfId="0" applyNumberFormat="1" applyFont="1" applyBorder="1" applyAlignment="1">
      <alignment wrapText="1"/>
    </xf>
    <xf numFmtId="2" fontId="4" fillId="4" borderId="8" xfId="0" applyNumberFormat="1" applyFont="1" applyFill="1" applyBorder="1" applyAlignment="1">
      <alignment wrapText="1"/>
    </xf>
    <xf numFmtId="164" fontId="4" fillId="5" borderId="8" xfId="0" applyNumberFormat="1" applyFont="1" applyFill="1" applyBorder="1" applyAlignment="1">
      <alignment wrapText="1"/>
    </xf>
    <xf numFmtId="0" fontId="7" fillId="4" borderId="8" xfId="0" applyFont="1" applyFill="1" applyBorder="1" applyAlignment="1">
      <alignment wrapText="1"/>
    </xf>
    <xf numFmtId="2" fontId="7" fillId="4" borderId="8" xfId="0" applyNumberFormat="1" applyFont="1" applyFill="1" applyBorder="1" applyAlignment="1">
      <alignment wrapText="1"/>
    </xf>
    <xf numFmtId="0" fontId="4" fillId="0" borderId="10" xfId="0" applyFont="1" applyBorder="1" applyAlignment="1">
      <alignment wrapText="1"/>
    </xf>
    <xf numFmtId="0" fontId="7" fillId="4" borderId="10" xfId="0" applyFont="1" applyFill="1" applyBorder="1" applyAlignment="1">
      <alignment horizontal="right" wrapText="1"/>
    </xf>
    <xf numFmtId="0" fontId="6" fillId="0" borderId="10" xfId="0" applyFont="1" applyBorder="1" applyAlignment="1">
      <alignment horizontal="center" wrapText="1"/>
    </xf>
    <xf numFmtId="164" fontId="4" fillId="0" borderId="11" xfId="0" applyNumberFormat="1" applyFont="1" applyBorder="1" applyAlignment="1">
      <alignment horizontal="right" wrapText="1"/>
    </xf>
    <xf numFmtId="0" fontId="4" fillId="5" borderId="10" xfId="0" applyFont="1" applyFill="1" applyBorder="1" applyAlignment="1">
      <alignment wrapText="1"/>
    </xf>
    <xf numFmtId="164" fontId="4" fillId="0" borderId="11" xfId="0" applyNumberFormat="1" applyFont="1" applyBorder="1" applyAlignment="1">
      <alignment wrapText="1"/>
    </xf>
    <xf numFmtId="164" fontId="4" fillId="5" borderId="11" xfId="0" applyNumberFormat="1" applyFont="1" applyFill="1" applyBorder="1" applyAlignment="1">
      <alignment wrapText="1"/>
    </xf>
    <xf numFmtId="0" fontId="7" fillId="2" borderId="12" xfId="0" applyFont="1" applyFill="1" applyBorder="1" applyAlignment="1">
      <alignment horizontal="left" wrapText="1"/>
    </xf>
    <xf numFmtId="0" fontId="7" fillId="2" borderId="13" xfId="0" applyFont="1" applyFill="1" applyBorder="1" applyAlignment="1">
      <alignment wrapText="1"/>
    </xf>
    <xf numFmtId="2" fontId="7" fillId="2" borderId="13" xfId="0" applyNumberFormat="1" applyFont="1" applyFill="1" applyBorder="1" applyAlignment="1">
      <alignment wrapText="1"/>
    </xf>
    <xf numFmtId="0" fontId="6" fillId="0" borderId="15" xfId="0" applyFont="1" applyBorder="1" applyAlignment="1">
      <alignment horizontal="center" wrapText="1"/>
    </xf>
    <xf numFmtId="0" fontId="4" fillId="0" borderId="16" xfId="0" applyFont="1" applyBorder="1" applyAlignment="1">
      <alignment wrapText="1"/>
    </xf>
    <xf numFmtId="164" fontId="4" fillId="0" borderId="16" xfId="0" applyNumberFormat="1" applyFont="1" applyBorder="1" applyAlignment="1">
      <alignment horizontal="center" wrapText="1"/>
    </xf>
    <xf numFmtId="164" fontId="4" fillId="0" borderId="17" xfId="0" applyNumberFormat="1" applyFont="1" applyBorder="1" applyAlignment="1">
      <alignment horizontal="right" wrapText="1"/>
    </xf>
    <xf numFmtId="0" fontId="7" fillId="2" borderId="18" xfId="0" applyFont="1" applyFill="1" applyBorder="1" applyAlignment="1">
      <alignment wrapText="1"/>
    </xf>
    <xf numFmtId="0" fontId="4" fillId="2" borderId="19" xfId="0" applyFont="1" applyFill="1" applyBorder="1" applyAlignment="1">
      <alignment wrapText="1"/>
    </xf>
    <xf numFmtId="2" fontId="4" fillId="2" borderId="19" xfId="0" applyNumberFormat="1" applyFont="1" applyFill="1" applyBorder="1" applyAlignment="1">
      <alignment horizontal="center" wrapText="1"/>
    </xf>
    <xf numFmtId="2" fontId="4" fillId="0" borderId="16" xfId="0" applyNumberFormat="1" applyFont="1" applyBorder="1" applyAlignment="1">
      <alignment horizontal="center" wrapText="1"/>
    </xf>
    <xf numFmtId="0" fontId="4" fillId="0" borderId="17" xfId="0" applyFont="1" applyBorder="1" applyAlignment="1">
      <alignment wrapText="1"/>
    </xf>
    <xf numFmtId="0" fontId="7" fillId="2" borderId="19" xfId="0" applyFont="1" applyFill="1" applyBorder="1" applyAlignment="1">
      <alignment wrapText="1"/>
    </xf>
    <xf numFmtId="164" fontId="10" fillId="6" borderId="9" xfId="0" applyNumberFormat="1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wrapText="1"/>
    </xf>
    <xf numFmtId="0" fontId="4" fillId="5" borderId="18" xfId="0" applyFont="1" applyFill="1" applyBorder="1" applyAlignment="1">
      <alignment wrapText="1"/>
    </xf>
    <xf numFmtId="4" fontId="4" fillId="5" borderId="8" xfId="0" applyNumberFormat="1" applyFont="1" applyFill="1" applyBorder="1" applyAlignment="1">
      <alignment horizontal="right" wrapText="1"/>
    </xf>
    <xf numFmtId="4" fontId="4" fillId="5" borderId="8" xfId="0" applyNumberFormat="1" applyFont="1" applyFill="1" applyBorder="1" applyAlignment="1">
      <alignment wrapText="1"/>
    </xf>
    <xf numFmtId="164" fontId="9" fillId="2" borderId="9" xfId="0" applyNumberFormat="1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right" wrapText="1"/>
    </xf>
    <xf numFmtId="2" fontId="4" fillId="0" borderId="8" xfId="0" applyNumberFormat="1" applyFont="1" applyBorder="1" applyAlignment="1">
      <alignment wrapText="1"/>
    </xf>
    <xf numFmtId="2" fontId="4" fillId="5" borderId="8" xfId="0" applyNumberFormat="1" applyFont="1" applyFill="1" applyBorder="1" applyAlignment="1">
      <alignment wrapText="1"/>
    </xf>
    <xf numFmtId="0" fontId="6" fillId="0" borderId="21" xfId="0" applyFont="1" applyBorder="1" applyAlignment="1">
      <alignment horizontal="center" wrapText="1"/>
    </xf>
    <xf numFmtId="0" fontId="4" fillId="0" borderId="22" xfId="0" applyFont="1" applyBorder="1" applyAlignment="1">
      <alignment wrapText="1"/>
    </xf>
    <xf numFmtId="0" fontId="4" fillId="0" borderId="23" xfId="0" applyFont="1" applyBorder="1" applyAlignment="1">
      <alignment wrapText="1"/>
    </xf>
    <xf numFmtId="0" fontId="6" fillId="5" borderId="10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wrapText="1"/>
    </xf>
    <xf numFmtId="164" fontId="4" fillId="0" borderId="8" xfId="0" applyNumberFormat="1" applyFont="1" applyBorder="1" applyAlignment="1">
      <alignment horizontal="right" wrapText="1"/>
    </xf>
    <xf numFmtId="0" fontId="8" fillId="6" borderId="8" xfId="0" applyFont="1" applyFill="1" applyBorder="1" applyAlignment="1">
      <alignment wrapText="1"/>
    </xf>
    <xf numFmtId="4" fontId="8" fillId="6" borderId="8" xfId="0" applyNumberFormat="1" applyFont="1" applyFill="1" applyBorder="1" applyAlignment="1">
      <alignment wrapText="1"/>
    </xf>
    <xf numFmtId="164" fontId="8" fillId="6" borderId="8" xfId="0" applyNumberFormat="1" applyFont="1" applyFill="1" applyBorder="1" applyAlignment="1">
      <alignment wrapText="1"/>
    </xf>
    <xf numFmtId="0" fontId="8" fillId="6" borderId="21" xfId="0" applyFont="1" applyFill="1" applyBorder="1" applyAlignment="1">
      <alignment wrapText="1"/>
    </xf>
    <xf numFmtId="0" fontId="8" fillId="6" borderId="22" xfId="0" applyFont="1" applyFill="1" applyBorder="1" applyAlignment="1">
      <alignment wrapText="1"/>
    </xf>
    <xf numFmtId="4" fontId="8" fillId="6" borderId="22" xfId="0" applyNumberFormat="1" applyFont="1" applyFill="1" applyBorder="1" applyAlignment="1">
      <alignment wrapText="1"/>
    </xf>
    <xf numFmtId="164" fontId="8" fillId="6" borderId="22" xfId="0" applyNumberFormat="1" applyFont="1" applyFill="1" applyBorder="1" applyAlignment="1">
      <alignment wrapText="1"/>
    </xf>
    <xf numFmtId="164" fontId="8" fillId="6" borderId="23" xfId="0" applyNumberFormat="1" applyFont="1" applyFill="1" applyBorder="1" applyAlignment="1">
      <alignment wrapText="1"/>
    </xf>
    <xf numFmtId="0" fontId="8" fillId="6" borderId="10" xfId="0" applyFont="1" applyFill="1" applyBorder="1" applyAlignment="1">
      <alignment wrapText="1"/>
    </xf>
    <xf numFmtId="164" fontId="8" fillId="6" borderId="11" xfId="0" applyNumberFormat="1" applyFont="1" applyFill="1" applyBorder="1" applyAlignment="1">
      <alignment wrapText="1"/>
    </xf>
    <xf numFmtId="0" fontId="8" fillId="6" borderId="12" xfId="0" applyFont="1" applyFill="1" applyBorder="1" applyAlignment="1">
      <alignment wrapText="1"/>
    </xf>
    <xf numFmtId="0" fontId="8" fillId="6" borderId="13" xfId="0" applyFont="1" applyFill="1" applyBorder="1" applyAlignment="1">
      <alignment wrapText="1"/>
    </xf>
    <xf numFmtId="4" fontId="8" fillId="6" borderId="13" xfId="0" applyNumberFormat="1" applyFont="1" applyFill="1" applyBorder="1" applyAlignment="1">
      <alignment wrapText="1"/>
    </xf>
    <xf numFmtId="164" fontId="8" fillId="6" borderId="13" xfId="0" applyNumberFormat="1" applyFont="1" applyFill="1" applyBorder="1" applyAlignment="1">
      <alignment wrapText="1"/>
    </xf>
    <xf numFmtId="164" fontId="8" fillId="6" borderId="14" xfId="0" applyNumberFormat="1" applyFont="1" applyFill="1" applyBorder="1" applyAlignment="1">
      <alignment wrapText="1"/>
    </xf>
    <xf numFmtId="0" fontId="5" fillId="3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164" fontId="4" fillId="2" borderId="30" xfId="0" applyNumberFormat="1" applyFont="1" applyFill="1" applyBorder="1" applyAlignment="1">
      <alignment horizontal="center" wrapText="1"/>
    </xf>
    <xf numFmtId="0" fontId="7" fillId="2" borderId="30" xfId="0" applyFont="1" applyFill="1" applyBorder="1" applyAlignment="1">
      <alignment wrapText="1"/>
    </xf>
    <xf numFmtId="164" fontId="7" fillId="2" borderId="31" xfId="0" applyNumberFormat="1" applyFont="1" applyFill="1" applyBorder="1" applyAlignment="1">
      <alignment wrapText="1"/>
    </xf>
    <xf numFmtId="164" fontId="10" fillId="4" borderId="32" xfId="0" applyNumberFormat="1" applyFont="1" applyFill="1" applyBorder="1" applyAlignment="1">
      <alignment horizontal="center" vertical="center" wrapText="1"/>
    </xf>
    <xf numFmtId="164" fontId="7" fillId="2" borderId="9" xfId="0" applyNumberFormat="1" applyFont="1" applyFill="1" applyBorder="1" applyAlignment="1">
      <alignment horizontal="right" wrapText="1"/>
    </xf>
    <xf numFmtId="164" fontId="0" fillId="0" borderId="0" xfId="0" applyNumberFormat="1"/>
    <xf numFmtId="2" fontId="4" fillId="0" borderId="8" xfId="0" applyNumberFormat="1" applyFont="1" applyBorder="1" applyAlignment="1">
      <alignment horizontal="right" wrapText="1"/>
    </xf>
    <xf numFmtId="0" fontId="4" fillId="0" borderId="33" xfId="0" applyFont="1" applyBorder="1" applyAlignment="1">
      <alignment wrapText="1"/>
    </xf>
    <xf numFmtId="0" fontId="4" fillId="0" borderId="34" xfId="0" applyFont="1" applyBorder="1" applyAlignment="1">
      <alignment wrapText="1"/>
    </xf>
    <xf numFmtId="2" fontId="4" fillId="5" borderId="34" xfId="0" applyNumberFormat="1" applyFont="1" applyFill="1" applyBorder="1" applyAlignment="1">
      <alignment horizontal="right" wrapText="1"/>
    </xf>
    <xf numFmtId="164" fontId="4" fillId="0" borderId="34" xfId="0" applyNumberFormat="1" applyFont="1" applyBorder="1" applyAlignment="1">
      <alignment horizontal="right" wrapText="1"/>
    </xf>
    <xf numFmtId="0" fontId="7" fillId="7" borderId="10" xfId="0" applyFont="1" applyFill="1" applyBorder="1" applyAlignment="1">
      <alignment horizontal="right" wrapText="1"/>
    </xf>
    <xf numFmtId="0" fontId="4" fillId="7" borderId="8" xfId="0" applyFont="1" applyFill="1" applyBorder="1" applyAlignment="1">
      <alignment wrapText="1"/>
    </xf>
    <xf numFmtId="2" fontId="4" fillId="7" borderId="8" xfId="0" applyNumberFormat="1" applyFont="1" applyFill="1" applyBorder="1" applyAlignment="1">
      <alignment horizontal="center" wrapText="1"/>
    </xf>
    <xf numFmtId="164" fontId="4" fillId="7" borderId="8" xfId="0" applyNumberFormat="1" applyFont="1" applyFill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164" fontId="4" fillId="0" borderId="22" xfId="0" applyNumberFormat="1" applyFont="1" applyBorder="1" applyAlignment="1">
      <alignment horizontal="center" wrapText="1"/>
    </xf>
    <xf numFmtId="164" fontId="4" fillId="0" borderId="23" xfId="0" applyNumberFormat="1" applyFont="1" applyBorder="1" applyAlignment="1">
      <alignment horizontal="right" wrapText="1"/>
    </xf>
    <xf numFmtId="164" fontId="7" fillId="7" borderId="9" xfId="0" applyNumberFormat="1" applyFont="1" applyFill="1" applyBorder="1" applyAlignment="1">
      <alignment horizontal="right" wrapText="1"/>
    </xf>
    <xf numFmtId="0" fontId="4" fillId="2" borderId="13" xfId="0" applyFont="1" applyFill="1" applyBorder="1" applyAlignment="1">
      <alignment wrapText="1"/>
    </xf>
    <xf numFmtId="0" fontId="4" fillId="2" borderId="31" xfId="0" applyFont="1" applyFill="1" applyBorder="1" applyAlignment="1">
      <alignment wrapText="1"/>
    </xf>
    <xf numFmtId="0" fontId="4" fillId="5" borderId="8" xfId="0" applyFont="1" applyFill="1" applyBorder="1"/>
    <xf numFmtId="4" fontId="12" fillId="5" borderId="8" xfId="0" applyNumberFormat="1" applyFont="1" applyFill="1" applyBorder="1" applyAlignment="1">
      <alignment horizontal="right"/>
    </xf>
    <xf numFmtId="0" fontId="4" fillId="5" borderId="10" xfId="0" applyFont="1" applyFill="1" applyBorder="1"/>
    <xf numFmtId="0" fontId="4" fillId="0" borderId="34" xfId="0" applyFont="1" applyBorder="1"/>
    <xf numFmtId="2" fontId="4" fillId="5" borderId="34" xfId="0" applyNumberFormat="1" applyFont="1" applyFill="1" applyBorder="1" applyAlignment="1">
      <alignment horizontal="right"/>
    </xf>
    <xf numFmtId="164" fontId="3" fillId="0" borderId="8" xfId="0" applyNumberFormat="1" applyFont="1" applyBorder="1"/>
    <xf numFmtId="0" fontId="4" fillId="5" borderId="33" xfId="0" applyFont="1" applyFill="1" applyBorder="1" applyAlignment="1">
      <alignment wrapText="1"/>
    </xf>
    <xf numFmtId="0" fontId="4" fillId="5" borderId="34" xfId="0" applyFont="1" applyFill="1" applyBorder="1"/>
    <xf numFmtId="0" fontId="7" fillId="2" borderId="31" xfId="0" applyFont="1" applyFill="1" applyBorder="1" applyAlignment="1">
      <alignment wrapText="1"/>
    </xf>
    <xf numFmtId="164" fontId="10" fillId="7" borderId="3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23" xfId="0" applyFont="1" applyBorder="1"/>
    <xf numFmtId="0" fontId="4" fillId="0" borderId="10" xfId="0" applyFont="1" applyBorder="1" applyAlignment="1">
      <alignment horizontal="left" vertical="center" wrapText="1"/>
    </xf>
    <xf numFmtId="0" fontId="4" fillId="0" borderId="8" xfId="0" applyFont="1" applyBorder="1"/>
    <xf numFmtId="4" fontId="4" fillId="0" borderId="8" xfId="0" applyNumberFormat="1" applyFont="1" applyBorder="1" applyAlignment="1">
      <alignment horizontal="right"/>
    </xf>
    <xf numFmtId="164" fontId="4" fillId="0" borderId="8" xfId="0" applyNumberFormat="1" applyFont="1" applyBorder="1" applyAlignment="1">
      <alignment horizontal="right"/>
    </xf>
    <xf numFmtId="0" fontId="3" fillId="4" borderId="19" xfId="0" applyFont="1" applyFill="1" applyBorder="1"/>
    <xf numFmtId="0" fontId="3" fillId="4" borderId="19" xfId="0" applyFont="1" applyFill="1" applyBorder="1" applyAlignment="1">
      <alignment horizontal="center"/>
    </xf>
    <xf numFmtId="0" fontId="7" fillId="2" borderId="12" xfId="0" applyFont="1" applyFill="1" applyBorder="1"/>
    <xf numFmtId="0" fontId="7" fillId="2" borderId="13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left" vertical="center"/>
    </xf>
    <xf numFmtId="0" fontId="5" fillId="5" borderId="17" xfId="0" applyFont="1" applyFill="1" applyBorder="1" applyAlignment="1">
      <alignment horizontal="left" vertical="center"/>
    </xf>
    <xf numFmtId="4" fontId="4" fillId="5" borderId="8" xfId="0" applyNumberFormat="1" applyFont="1" applyFill="1" applyBorder="1" applyAlignment="1">
      <alignment horizontal="right"/>
    </xf>
    <xf numFmtId="164" fontId="4" fillId="5" borderId="8" xfId="0" applyNumberFormat="1" applyFont="1" applyFill="1" applyBorder="1" applyAlignment="1">
      <alignment horizontal="right"/>
    </xf>
    <xf numFmtId="164" fontId="4" fillId="5" borderId="11" xfId="0" applyNumberFormat="1" applyFont="1" applyFill="1" applyBorder="1" applyAlignment="1">
      <alignment horizontal="right"/>
    </xf>
    <xf numFmtId="0" fontId="7" fillId="4" borderId="18" xfId="0" applyFont="1" applyFill="1" applyBorder="1" applyAlignment="1">
      <alignment horizontal="right"/>
    </xf>
    <xf numFmtId="0" fontId="4" fillId="4" borderId="19" xfId="0" applyFont="1" applyFill="1" applyBorder="1"/>
    <xf numFmtId="4" fontId="4" fillId="4" borderId="19" xfId="0" applyNumberFormat="1" applyFont="1" applyFill="1" applyBorder="1" applyAlignment="1">
      <alignment horizontal="right"/>
    </xf>
    <xf numFmtId="0" fontId="4" fillId="0" borderId="40" xfId="0" applyFont="1" applyBorder="1" applyAlignment="1">
      <alignment wrapText="1"/>
    </xf>
    <xf numFmtId="0" fontId="4" fillId="0" borderId="41" xfId="0" applyFont="1" applyBorder="1" applyAlignment="1">
      <alignment wrapText="1"/>
    </xf>
    <xf numFmtId="164" fontId="4" fillId="0" borderId="20" xfId="0" applyNumberFormat="1" applyFont="1" applyBorder="1" applyAlignment="1">
      <alignment horizontal="right" wrapText="1"/>
    </xf>
    <xf numFmtId="0" fontId="7" fillId="7" borderId="15" xfId="0" applyFont="1" applyFill="1" applyBorder="1" applyAlignment="1">
      <alignment horizontal="right" wrapText="1"/>
    </xf>
    <xf numFmtId="0" fontId="4" fillId="7" borderId="16" xfId="0" applyFont="1" applyFill="1" applyBorder="1" applyAlignment="1">
      <alignment wrapText="1"/>
    </xf>
    <xf numFmtId="2" fontId="4" fillId="7" borderId="16" xfId="0" applyNumberFormat="1" applyFont="1" applyFill="1" applyBorder="1" applyAlignment="1">
      <alignment horizontal="center" wrapText="1"/>
    </xf>
    <xf numFmtId="44" fontId="4" fillId="0" borderId="8" xfId="1" applyFont="1" applyBorder="1" applyAlignment="1">
      <alignment horizontal="right" wrapText="1"/>
    </xf>
    <xf numFmtId="44" fontId="4" fillId="0" borderId="11" xfId="1" applyFont="1" applyBorder="1" applyAlignment="1">
      <alignment horizontal="right" wrapText="1"/>
    </xf>
    <xf numFmtId="2" fontId="4" fillId="5" borderId="8" xfId="0" applyNumberFormat="1" applyFont="1" applyFill="1" applyBorder="1" applyAlignment="1">
      <alignment horizontal="right" wrapText="1"/>
    </xf>
    <xf numFmtId="164" fontId="4" fillId="8" borderId="41" xfId="0" applyNumberFormat="1" applyFont="1" applyFill="1" applyBorder="1" applyAlignment="1">
      <alignment horizontal="right" wrapText="1"/>
    </xf>
    <xf numFmtId="164" fontId="4" fillId="8" borderId="8" xfId="0" applyNumberFormat="1" applyFont="1" applyFill="1" applyBorder="1" applyAlignment="1">
      <alignment horizontal="right" wrapText="1"/>
    </xf>
    <xf numFmtId="0" fontId="0" fillId="8" borderId="0" xfId="0" applyFill="1"/>
    <xf numFmtId="0" fontId="0" fillId="5" borderId="0" xfId="0" applyFill="1"/>
    <xf numFmtId="3" fontId="4" fillId="5" borderId="8" xfId="0" applyNumberFormat="1" applyFont="1" applyFill="1" applyBorder="1" applyAlignment="1">
      <alignment wrapText="1"/>
    </xf>
    <xf numFmtId="1" fontId="4" fillId="5" borderId="34" xfId="0" applyNumberFormat="1" applyFont="1" applyFill="1" applyBorder="1" applyAlignment="1">
      <alignment horizontal="right"/>
    </xf>
    <xf numFmtId="0" fontId="16" fillId="0" borderId="0" xfId="0" applyFont="1" applyAlignment="1">
      <alignment horizontal="left" vertical="top"/>
    </xf>
    <xf numFmtId="0" fontId="17" fillId="0" borderId="10" xfId="0" applyFont="1" applyBorder="1" applyAlignment="1">
      <alignment horizontal="center" vertical="top" wrapText="1"/>
    </xf>
    <xf numFmtId="0" fontId="0" fillId="0" borderId="8" xfId="0" applyBorder="1" applyAlignment="1">
      <alignment horizontal="left" wrapText="1"/>
    </xf>
    <xf numFmtId="44" fontId="0" fillId="0" borderId="8" xfId="1" applyFont="1" applyBorder="1" applyAlignment="1">
      <alignment horizontal="left" wrapText="1"/>
    </xf>
    <xf numFmtId="44" fontId="0" fillId="0" borderId="11" xfId="1" applyFont="1" applyBorder="1" applyAlignment="1">
      <alignment horizontal="left" wrapText="1"/>
    </xf>
    <xf numFmtId="0" fontId="0" fillId="0" borderId="0" xfId="0" applyAlignment="1">
      <alignment horizontal="left" vertical="top"/>
    </xf>
    <xf numFmtId="0" fontId="12" fillId="0" borderId="10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center" wrapText="1"/>
    </xf>
    <xf numFmtId="44" fontId="12" fillId="0" borderId="8" xfId="1" applyFont="1" applyBorder="1" applyAlignment="1">
      <alignment horizontal="right" vertical="center" wrapText="1"/>
    </xf>
    <xf numFmtId="44" fontId="12" fillId="0" borderId="11" xfId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left" vertical="top" wrapText="1"/>
    </xf>
    <xf numFmtId="0" fontId="21" fillId="9" borderId="10" xfId="0" applyFont="1" applyFill="1" applyBorder="1" applyAlignment="1">
      <alignment horizontal="right" vertical="top" wrapText="1"/>
    </xf>
    <xf numFmtId="0" fontId="0" fillId="9" borderId="8" xfId="0" applyFill="1" applyBorder="1" applyAlignment="1">
      <alignment horizontal="left" wrapText="1"/>
    </xf>
    <xf numFmtId="44" fontId="4" fillId="0" borderId="8" xfId="1" applyFont="1" applyBorder="1" applyAlignment="1">
      <alignment wrapText="1"/>
    </xf>
    <xf numFmtId="44" fontId="4" fillId="5" borderId="8" xfId="1" applyFont="1" applyFill="1" applyBorder="1" applyAlignment="1">
      <alignment wrapText="1"/>
    </xf>
    <xf numFmtId="4" fontId="20" fillId="5" borderId="8" xfId="0" applyNumberFormat="1" applyFont="1" applyFill="1" applyBorder="1" applyAlignment="1">
      <alignment horizontal="right" vertical="center" shrinkToFit="1"/>
    </xf>
    <xf numFmtId="0" fontId="21" fillId="10" borderId="12" xfId="0" applyFont="1" applyFill="1" applyBorder="1" applyAlignment="1">
      <alignment horizontal="left" vertical="top" wrapText="1"/>
    </xf>
    <xf numFmtId="0" fontId="0" fillId="10" borderId="13" xfId="0" applyFill="1" applyBorder="1" applyAlignment="1">
      <alignment horizontal="left" wrapText="1"/>
    </xf>
    <xf numFmtId="0" fontId="12" fillId="0" borderId="8" xfId="0" applyFont="1" applyBorder="1" applyAlignment="1">
      <alignment horizontal="left" vertical="top" wrapText="1"/>
    </xf>
    <xf numFmtId="2" fontId="20" fillId="5" borderId="8" xfId="0" applyNumberFormat="1" applyFont="1" applyFill="1" applyBorder="1" applyAlignment="1">
      <alignment horizontal="right" vertical="top" shrinkToFit="1"/>
    </xf>
    <xf numFmtId="44" fontId="12" fillId="0" borderId="8" xfId="1" applyFont="1" applyBorder="1" applyAlignment="1">
      <alignment horizontal="right" vertical="top" wrapText="1"/>
    </xf>
    <xf numFmtId="44" fontId="12" fillId="0" borderId="11" xfId="1" applyFont="1" applyBorder="1" applyAlignment="1">
      <alignment horizontal="right" vertical="top" wrapText="1"/>
    </xf>
    <xf numFmtId="44" fontId="4" fillId="5" borderId="11" xfId="1" applyFont="1" applyFill="1" applyBorder="1" applyAlignment="1">
      <alignment wrapText="1"/>
    </xf>
    <xf numFmtId="1" fontId="4" fillId="0" borderId="8" xfId="0" applyNumberFormat="1" applyFont="1" applyBorder="1" applyAlignment="1">
      <alignment wrapText="1"/>
    </xf>
    <xf numFmtId="2" fontId="20" fillId="0" borderId="8" xfId="0" applyNumberFormat="1" applyFont="1" applyBorder="1" applyAlignment="1">
      <alignment horizontal="right" vertical="top" shrinkToFit="1"/>
    </xf>
    <xf numFmtId="44" fontId="4" fillId="0" borderId="11" xfId="1" applyFont="1" applyBorder="1" applyAlignment="1">
      <alignment wrapText="1"/>
    </xf>
    <xf numFmtId="0" fontId="21" fillId="10" borderId="18" xfId="0" applyFont="1" applyFill="1" applyBorder="1" applyAlignment="1">
      <alignment horizontal="left" vertical="top" wrapText="1"/>
    </xf>
    <xf numFmtId="0" fontId="0" fillId="10" borderId="19" xfId="0" applyFill="1" applyBorder="1" applyAlignment="1">
      <alignment horizontal="left" wrapText="1"/>
    </xf>
    <xf numFmtId="1" fontId="20" fillId="0" borderId="8" xfId="0" applyNumberFormat="1" applyFont="1" applyBorder="1" applyAlignment="1">
      <alignment horizontal="right" vertical="top" shrinkToFit="1"/>
    </xf>
    <xf numFmtId="44" fontId="4" fillId="7" borderId="42" xfId="1" applyFont="1" applyFill="1" applyBorder="1" applyAlignment="1">
      <alignment horizontal="center" wrapText="1"/>
    </xf>
    <xf numFmtId="44" fontId="4" fillId="0" borderId="20" xfId="1" applyFont="1" applyBorder="1" applyAlignment="1">
      <alignment wrapText="1"/>
    </xf>
    <xf numFmtId="44" fontId="7" fillId="7" borderId="9" xfId="1" applyFont="1" applyFill="1" applyBorder="1" applyAlignment="1">
      <alignment horizontal="right" wrapText="1"/>
    </xf>
    <xf numFmtId="44" fontId="0" fillId="10" borderId="31" xfId="1" applyFont="1" applyFill="1" applyBorder="1" applyAlignment="1">
      <alignment horizontal="left" wrapText="1"/>
    </xf>
    <xf numFmtId="44" fontId="21" fillId="10" borderId="9" xfId="1" applyFont="1" applyFill="1" applyBorder="1" applyAlignment="1">
      <alignment horizontal="right" vertical="top" wrapText="1"/>
    </xf>
    <xf numFmtId="44" fontId="12" fillId="0" borderId="20" xfId="1" applyFont="1" applyBorder="1" applyAlignment="1">
      <alignment horizontal="right" vertical="top" wrapText="1"/>
    </xf>
    <xf numFmtId="44" fontId="4" fillId="5" borderId="20" xfId="1" applyFont="1" applyFill="1" applyBorder="1" applyAlignment="1">
      <alignment wrapText="1"/>
    </xf>
    <xf numFmtId="44" fontId="4" fillId="0" borderId="20" xfId="1" applyFont="1" applyBorder="1" applyAlignment="1">
      <alignment horizontal="right" wrapText="1"/>
    </xf>
    <xf numFmtId="44" fontId="0" fillId="10" borderId="30" xfId="1" applyFont="1" applyFill="1" applyBorder="1" applyAlignment="1">
      <alignment horizontal="left" wrapText="1"/>
    </xf>
    <xf numFmtId="44" fontId="21" fillId="10" borderId="32" xfId="1" applyFont="1" applyFill="1" applyBorder="1" applyAlignment="1">
      <alignment horizontal="right" vertical="top" wrapText="1"/>
    </xf>
    <xf numFmtId="164" fontId="7" fillId="7" borderId="9" xfId="1" applyNumberFormat="1" applyFont="1" applyFill="1" applyBorder="1" applyAlignment="1">
      <alignment horizontal="right" wrapText="1"/>
    </xf>
    <xf numFmtId="164" fontId="4" fillId="7" borderId="44" xfId="0" applyNumberFormat="1" applyFont="1" applyFill="1" applyBorder="1" applyAlignment="1">
      <alignment horizontal="center" wrapText="1"/>
    </xf>
    <xf numFmtId="0" fontId="7" fillId="2" borderId="31" xfId="0" applyFont="1" applyFill="1" applyBorder="1" applyAlignment="1">
      <alignment horizontal="center"/>
    </xf>
    <xf numFmtId="164" fontId="4" fillId="0" borderId="19" xfId="0" applyNumberFormat="1" applyFont="1" applyBorder="1" applyAlignment="1">
      <alignment horizontal="right" wrapText="1"/>
    </xf>
    <xf numFmtId="164" fontId="7" fillId="2" borderId="43" xfId="0" applyNumberFormat="1" applyFont="1" applyFill="1" applyBorder="1" applyAlignment="1">
      <alignment horizontal="right"/>
    </xf>
    <xf numFmtId="0" fontId="17" fillId="0" borderId="15" xfId="0" applyFont="1" applyBorder="1" applyAlignment="1">
      <alignment horizontal="center" vertical="top" wrapText="1"/>
    </xf>
    <xf numFmtId="0" fontId="0" fillId="0" borderId="16" xfId="0" applyBorder="1" applyAlignment="1">
      <alignment horizontal="left" wrapText="1"/>
    </xf>
    <xf numFmtId="44" fontId="0" fillId="0" borderId="16" xfId="1" applyFont="1" applyBorder="1" applyAlignment="1">
      <alignment horizontal="left" wrapText="1"/>
    </xf>
    <xf numFmtId="44" fontId="0" fillId="0" borderId="17" xfId="1" applyFont="1" applyBorder="1" applyAlignment="1">
      <alignment horizontal="left" wrapText="1"/>
    </xf>
    <xf numFmtId="0" fontId="23" fillId="3" borderId="37" xfId="0" applyFont="1" applyFill="1" applyBorder="1" applyAlignment="1">
      <alignment horizontal="left" vertical="center" wrapText="1"/>
    </xf>
    <xf numFmtId="0" fontId="15" fillId="3" borderId="38" xfId="0" applyFont="1" applyFill="1" applyBorder="1" applyAlignment="1">
      <alignment horizontal="left" vertical="center" wrapText="1"/>
    </xf>
    <xf numFmtId="0" fontId="15" fillId="3" borderId="39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11" fillId="3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10" fillId="7" borderId="7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left" vertical="center" wrapText="1"/>
    </xf>
    <xf numFmtId="164" fontId="7" fillId="4" borderId="42" xfId="0" applyNumberFormat="1" applyFont="1" applyFill="1" applyBorder="1" applyAlignment="1">
      <alignment wrapText="1"/>
    </xf>
    <xf numFmtId="44" fontId="0" fillId="9" borderId="42" xfId="1" applyFont="1" applyFill="1" applyBorder="1" applyAlignment="1">
      <alignment horizontal="left" wrapText="1"/>
    </xf>
    <xf numFmtId="164" fontId="4" fillId="4" borderId="42" xfId="0" applyNumberFormat="1" applyFont="1" applyFill="1" applyBorder="1" applyAlignment="1">
      <alignment wrapText="1"/>
    </xf>
    <xf numFmtId="164" fontId="4" fillId="4" borderId="42" xfId="0" applyNumberFormat="1" applyFont="1" applyFill="1" applyBorder="1" applyAlignment="1">
      <alignment horizontal="center" wrapText="1"/>
    </xf>
    <xf numFmtId="164" fontId="4" fillId="4" borderId="30" xfId="0" applyNumberFormat="1" applyFont="1" applyFill="1" applyBorder="1" applyAlignment="1">
      <alignment horizontal="right"/>
    </xf>
    <xf numFmtId="0" fontId="3" fillId="4" borderId="30" xfId="0" applyFont="1" applyFill="1" applyBorder="1" applyAlignment="1">
      <alignment horizontal="center"/>
    </xf>
    <xf numFmtId="164" fontId="4" fillId="0" borderId="20" xfId="0" applyNumberFormat="1" applyFont="1" applyBorder="1" applyAlignment="1">
      <alignment wrapText="1"/>
    </xf>
    <xf numFmtId="44" fontId="12" fillId="0" borderId="20" xfId="1" applyFont="1" applyBorder="1" applyAlignment="1">
      <alignment horizontal="right" vertical="center" wrapText="1"/>
    </xf>
    <xf numFmtId="164" fontId="4" fillId="5" borderId="20" xfId="0" applyNumberFormat="1" applyFont="1" applyFill="1" applyBorder="1" applyAlignment="1">
      <alignment wrapText="1"/>
    </xf>
    <xf numFmtId="164" fontId="4" fillId="5" borderId="20" xfId="0" applyNumberFormat="1" applyFont="1" applyFill="1" applyBorder="1" applyAlignment="1">
      <alignment horizontal="right"/>
    </xf>
    <xf numFmtId="164" fontId="4" fillId="0" borderId="20" xfId="0" applyNumberFormat="1" applyFont="1" applyBorder="1" applyAlignment="1">
      <alignment horizontal="right"/>
    </xf>
    <xf numFmtId="164" fontId="4" fillId="0" borderId="17" xfId="0" applyNumberFormat="1" applyFont="1" applyBorder="1" applyAlignment="1">
      <alignment wrapText="1"/>
    </xf>
    <xf numFmtId="44" fontId="4" fillId="0" borderId="17" xfId="1" applyFont="1" applyBorder="1" applyAlignment="1">
      <alignment horizontal="right" wrapText="1"/>
    </xf>
    <xf numFmtId="44" fontId="12" fillId="0" borderId="17" xfId="1" applyFont="1" applyBorder="1" applyAlignment="1">
      <alignment horizontal="right" vertical="center" wrapText="1"/>
    </xf>
    <xf numFmtId="164" fontId="7" fillId="4" borderId="9" xfId="0" applyNumberFormat="1" applyFont="1" applyFill="1" applyBorder="1" applyAlignment="1">
      <alignment horizontal="right" wrapText="1"/>
    </xf>
    <xf numFmtId="44" fontId="21" fillId="9" borderId="9" xfId="1" applyFont="1" applyFill="1" applyBorder="1" applyAlignment="1">
      <alignment horizontal="right" vertical="top" wrapText="1"/>
    </xf>
    <xf numFmtId="164" fontId="7" fillId="4" borderId="9" xfId="0" applyNumberFormat="1" applyFont="1" applyFill="1" applyBorder="1" applyAlignment="1">
      <alignment horizontal="right"/>
    </xf>
    <xf numFmtId="2" fontId="4" fillId="8" borderId="41" xfId="0" applyNumberFormat="1" applyFont="1" applyFill="1" applyBorder="1" applyAlignment="1">
      <alignment horizontal="right" wrapText="1"/>
    </xf>
    <xf numFmtId="1" fontId="4" fillId="8" borderId="8" xfId="0" applyNumberFormat="1" applyFont="1" applyFill="1" applyBorder="1" applyAlignment="1">
      <alignment horizontal="right" wrapText="1"/>
    </xf>
    <xf numFmtId="1" fontId="4" fillId="5" borderId="34" xfId="0" applyNumberFormat="1" applyFont="1" applyFill="1" applyBorder="1" applyAlignment="1">
      <alignment horizontal="right" wrapText="1"/>
    </xf>
    <xf numFmtId="0" fontId="24" fillId="0" borderId="0" xfId="0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2;&#1086;&#1103;%20&#1087;&#1072;&#1087;&#1082;&#1072;/&#1051;&#1080;&#1095;&#1082;&#1072;1/!!!&#1054;&#1073;&#1098;&#1077;&#1082;&#1090;&#1099;/04.%20&#1054;&#1079;&#1086;&#1085;%20&#1048;&#1078;&#1077;&#1074;&#1089;&#1082;/&#1057;&#1095;&#1077;&#1090;&#1072;,%20&#1088;&#1072;&#1089;&#1095;&#1077;&#1090;%20&#1084;&#1072;&#1090;&#1077;&#1088;&#1080;&#1072;&#1083;&#1072;/&#1056;&#1072;&#1089;&#1095;&#1077;&#1090;%20&#1084;&#1072;&#1090;&#1077;&#1088;&#1080;&#1072;&#1083;&#1072;%20&#1089;%20&#1088;&#1072;&#1079;&#1091;&#1082;&#1083;&#1086;&#1085;&#1082;&#1086;&#1081;%20&#1080;&#1079;%20&#1087;&#1088;&#1086;&#1092;&#1083;&#1080;&#1089;&#1090;&#1072;%2010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териал Блок 1"/>
      <sheetName val="Материал Блок 2"/>
      <sheetName val="Материал Блок 3"/>
      <sheetName val="Материал Блок 4"/>
      <sheetName val="Материал Блок 5"/>
      <sheetName val="Материал"/>
      <sheetName val="Разуклонка из профиля"/>
      <sheetName val="Объемы"/>
    </sheetNames>
    <sheetDataSet>
      <sheetData sheetId="0"/>
      <sheetData sheetId="1"/>
      <sheetData sheetId="2"/>
      <sheetData sheetId="3"/>
      <sheetData sheetId="4"/>
      <sheetData sheetId="5">
        <row r="28">
          <cell r="B28" t="str">
            <v>м3</v>
          </cell>
        </row>
        <row r="29">
          <cell r="B29" t="str">
            <v>м3</v>
          </cell>
        </row>
        <row r="30">
          <cell r="B30" t="str">
            <v>м2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BFE0-81A1-4046-95FF-9C564A1972EE}">
  <dimension ref="A1:N263"/>
  <sheetViews>
    <sheetView tabSelected="1" topLeftCell="A13" zoomScaleNormal="100" workbookViewId="0">
      <selection activeCell="J19" sqref="J19"/>
    </sheetView>
  </sheetViews>
  <sheetFormatPr defaultRowHeight="13.5"/>
  <cols>
    <col min="1" max="1" width="63.125" customWidth="1"/>
    <col min="2" max="2" width="10.125" customWidth="1"/>
    <col min="3" max="3" width="11.625" customWidth="1"/>
    <col min="4" max="4" width="18.75" customWidth="1"/>
    <col min="5" max="5" width="25" customWidth="1"/>
    <col min="6" max="6" width="2.625" customWidth="1"/>
    <col min="7" max="7" width="10.5" customWidth="1"/>
  </cols>
  <sheetData>
    <row r="1" spans="1:5">
      <c r="A1" s="213" t="s">
        <v>27</v>
      </c>
      <c r="B1" s="213"/>
      <c r="C1" s="213"/>
      <c r="D1" s="213"/>
      <c r="E1" s="213"/>
    </row>
    <row r="2" spans="1:5">
      <c r="A2" s="100"/>
      <c r="B2" s="100"/>
      <c r="C2" s="100"/>
      <c r="D2" s="100"/>
      <c r="E2" s="100"/>
    </row>
    <row r="3" spans="1:5">
      <c r="A3" s="101" t="s">
        <v>8</v>
      </c>
      <c r="B3" s="2"/>
      <c r="C3" s="5"/>
      <c r="D3" s="199" t="s">
        <v>9</v>
      </c>
      <c r="E3" s="199"/>
    </row>
    <row r="4" spans="1:5">
      <c r="A4" s="101" t="s">
        <v>10</v>
      </c>
      <c r="B4" s="2"/>
      <c r="C4" s="5"/>
      <c r="D4" s="199" t="s">
        <v>11</v>
      </c>
      <c r="E4" s="199"/>
    </row>
    <row r="5" spans="1:5">
      <c r="A5" s="101" t="s">
        <v>24</v>
      </c>
      <c r="B5" s="2"/>
      <c r="C5" s="5"/>
      <c r="D5" s="199" t="s">
        <v>15</v>
      </c>
      <c r="E5" s="199"/>
    </row>
    <row r="6" spans="1:5">
      <c r="A6" s="101" t="s">
        <v>25</v>
      </c>
      <c r="B6" s="2"/>
      <c r="C6" s="5"/>
      <c r="D6" s="198" t="s">
        <v>16</v>
      </c>
      <c r="E6" s="198"/>
    </row>
    <row r="7" spans="1:5">
      <c r="A7" s="101" t="s">
        <v>26</v>
      </c>
      <c r="B7" s="2"/>
      <c r="C7" s="5"/>
      <c r="D7" s="199" t="s">
        <v>17</v>
      </c>
      <c r="E7" s="199"/>
    </row>
    <row r="8" spans="1:5">
      <c r="A8" s="5"/>
      <c r="B8" s="5"/>
      <c r="C8" s="5"/>
      <c r="D8" s="5"/>
      <c r="E8" s="5"/>
    </row>
    <row r="9" spans="1:5">
      <c r="A9" s="5"/>
      <c r="B9" s="5"/>
      <c r="C9" s="5"/>
      <c r="D9" s="5"/>
      <c r="E9" s="5"/>
    </row>
    <row r="10" spans="1:5">
      <c r="A10" s="200" t="s">
        <v>28</v>
      </c>
      <c r="B10" s="200"/>
      <c r="C10" s="200"/>
      <c r="D10" s="200"/>
      <c r="E10" s="200"/>
    </row>
    <row r="11" spans="1:5">
      <c r="A11" s="200" t="s">
        <v>29</v>
      </c>
      <c r="B11" s="200"/>
      <c r="C11" s="200"/>
      <c r="D11" s="200"/>
      <c r="E11" s="200"/>
    </row>
    <row r="12" spans="1:5">
      <c r="A12" s="5"/>
      <c r="B12" s="5"/>
      <c r="C12" s="5"/>
      <c r="D12" s="5"/>
      <c r="E12" s="5"/>
    </row>
    <row r="13" spans="1:5" ht="13.9" thickBot="1">
      <c r="A13" s="5"/>
      <c r="B13" s="5"/>
      <c r="C13" s="5"/>
      <c r="D13" s="5"/>
      <c r="E13" s="5"/>
    </row>
    <row r="14" spans="1:5" ht="50.45" customHeight="1" thickBot="1">
      <c r="A14" s="220" t="s">
        <v>77</v>
      </c>
      <c r="B14" s="221"/>
      <c r="C14" s="221"/>
      <c r="D14" s="221"/>
      <c r="E14" s="222"/>
    </row>
    <row r="15" spans="1:5" ht="50.25" customHeight="1" thickBot="1">
      <c r="A15" s="220" t="s">
        <v>78</v>
      </c>
      <c r="B15" s="221"/>
      <c r="C15" s="221"/>
      <c r="D15" s="221"/>
      <c r="E15" s="222"/>
    </row>
    <row r="16" spans="1:5" ht="13.5" customHeight="1">
      <c r="A16" s="214" t="s">
        <v>174</v>
      </c>
      <c r="B16" s="215"/>
      <c r="C16" s="215"/>
      <c r="D16" s="215"/>
      <c r="E16" s="216"/>
    </row>
    <row r="17" spans="1:9" ht="348.4" customHeight="1" thickBot="1">
      <c r="A17" s="217"/>
      <c r="B17" s="218"/>
      <c r="C17" s="218"/>
      <c r="D17" s="218"/>
      <c r="E17" s="219"/>
    </row>
    <row r="18" spans="1:9" ht="48" customHeight="1" thickBot="1">
      <c r="A18" s="65" t="s">
        <v>18</v>
      </c>
      <c r="B18" s="66" t="s">
        <v>0</v>
      </c>
      <c r="C18" s="66" t="s">
        <v>1</v>
      </c>
      <c r="D18" s="67" t="s">
        <v>30</v>
      </c>
      <c r="E18" s="68" t="s">
        <v>31</v>
      </c>
    </row>
    <row r="19" spans="1:9" ht="27" customHeight="1" thickBot="1">
      <c r="A19" s="207" t="s">
        <v>23</v>
      </c>
      <c r="B19" s="208"/>
      <c r="C19" s="208"/>
      <c r="D19" s="208"/>
      <c r="E19" s="209"/>
    </row>
    <row r="20" spans="1:9" ht="24" customHeight="1" thickBot="1">
      <c r="A20" s="201" t="s">
        <v>79</v>
      </c>
      <c r="B20" s="202"/>
      <c r="C20" s="202"/>
      <c r="D20" s="202"/>
      <c r="E20" s="203"/>
      <c r="I20" s="102"/>
    </row>
    <row r="21" spans="1:9" ht="20.25">
      <c r="A21" s="103" t="s">
        <v>2</v>
      </c>
      <c r="B21" s="104"/>
      <c r="C21" s="104"/>
      <c r="D21" s="104"/>
      <c r="E21" s="105"/>
      <c r="I21" s="102"/>
    </row>
    <row r="22" spans="1:9" ht="15.4" thickBot="1">
      <c r="A22" s="106" t="s">
        <v>80</v>
      </c>
      <c r="B22" s="107" t="s">
        <v>3</v>
      </c>
      <c r="C22" s="108">
        <v>6477.4</v>
      </c>
      <c r="D22" s="109">
        <v>230</v>
      </c>
      <c r="E22" s="236">
        <f>C22*D22</f>
        <v>1489802</v>
      </c>
    </row>
    <row r="23" spans="1:9" ht="15.4" thickBot="1">
      <c r="A23" s="41" t="s">
        <v>4</v>
      </c>
      <c r="B23" s="110"/>
      <c r="C23" s="111"/>
      <c r="D23" s="231"/>
      <c r="E23" s="242">
        <f>E22</f>
        <v>1489802</v>
      </c>
    </row>
    <row r="24" spans="1:9" ht="15">
      <c r="A24" s="17" t="s">
        <v>45</v>
      </c>
      <c r="B24" s="6"/>
      <c r="C24" s="75"/>
      <c r="D24" s="49"/>
      <c r="E24" s="28"/>
    </row>
    <row r="25" spans="1:9" ht="16.5" customHeight="1">
      <c r="A25" s="123" t="s">
        <v>84</v>
      </c>
      <c r="B25" s="124" t="s">
        <v>3</v>
      </c>
      <c r="C25" s="243">
        <f>C22*1.25</f>
        <v>8096.75</v>
      </c>
      <c r="D25" s="132"/>
      <c r="E25" s="125">
        <f>C25*D25</f>
        <v>0</v>
      </c>
      <c r="F25" s="74"/>
      <c r="G25" s="74"/>
    </row>
    <row r="26" spans="1:9" ht="32.65" customHeight="1">
      <c r="A26" s="6" t="s">
        <v>85</v>
      </c>
      <c r="B26" s="6" t="s">
        <v>46</v>
      </c>
      <c r="C26" s="244">
        <f>C22*1.5</f>
        <v>9716.0999999999985</v>
      </c>
      <c r="D26" s="133"/>
      <c r="E26" s="49">
        <f>C26*D26</f>
        <v>0</v>
      </c>
      <c r="F26" s="74"/>
      <c r="G26" s="74"/>
    </row>
    <row r="27" spans="1:9" ht="16.5" customHeight="1" thickBot="1">
      <c r="A27" s="6" t="s">
        <v>86</v>
      </c>
      <c r="B27" s="6" t="s">
        <v>46</v>
      </c>
      <c r="C27" s="244">
        <f>C22*3</f>
        <v>19432.199999999997</v>
      </c>
      <c r="D27" s="133"/>
      <c r="E27" s="180">
        <f>C27*D27</f>
        <v>0</v>
      </c>
      <c r="F27" s="74"/>
      <c r="G27" s="74"/>
    </row>
    <row r="28" spans="1:9" ht="18.75" customHeight="1" thickBot="1">
      <c r="A28" s="126" t="s">
        <v>47</v>
      </c>
      <c r="B28" s="127"/>
      <c r="C28" s="128"/>
      <c r="D28" s="178"/>
      <c r="E28" s="87">
        <f>E25+E26+E27</f>
        <v>0</v>
      </c>
      <c r="F28" s="74"/>
    </row>
    <row r="29" spans="1:9" ht="15" customHeight="1" thickBot="1">
      <c r="A29" s="112" t="s">
        <v>5</v>
      </c>
      <c r="B29" s="113"/>
      <c r="C29" s="113"/>
      <c r="D29" s="179"/>
      <c r="E29" s="181">
        <f>E23+E28</f>
        <v>1489802</v>
      </c>
    </row>
    <row r="30" spans="1:9" ht="31.5" customHeight="1" thickBot="1">
      <c r="A30" s="223" t="s">
        <v>169</v>
      </c>
      <c r="B30" s="224"/>
      <c r="C30" s="224"/>
      <c r="D30" s="224"/>
      <c r="E30" s="225"/>
    </row>
    <row r="31" spans="1:9" ht="14.45" customHeight="1">
      <c r="A31" s="114" t="s">
        <v>2</v>
      </c>
      <c r="B31" s="115"/>
      <c r="C31" s="115"/>
      <c r="D31" s="115"/>
      <c r="E31" s="116"/>
    </row>
    <row r="32" spans="1:9" ht="45">
      <c r="A32" s="15" t="s">
        <v>40</v>
      </c>
      <c r="B32" s="6" t="s">
        <v>6</v>
      </c>
      <c r="C32" s="39">
        <v>364</v>
      </c>
      <c r="D32" s="10">
        <v>120</v>
      </c>
      <c r="E32" s="20">
        <f>C32*D32</f>
        <v>43680</v>
      </c>
    </row>
    <row r="33" spans="1:7" ht="19.5" customHeight="1">
      <c r="A33" s="19" t="s">
        <v>81</v>
      </c>
      <c r="B33" s="90" t="s">
        <v>6</v>
      </c>
      <c r="C33" s="117">
        <f>C32</f>
        <v>364</v>
      </c>
      <c r="D33" s="118">
        <v>160</v>
      </c>
      <c r="E33" s="119">
        <f>C33*D33</f>
        <v>58240</v>
      </c>
    </row>
    <row r="34" spans="1:7" ht="30">
      <c r="A34" s="19" t="s">
        <v>82</v>
      </c>
      <c r="B34" s="90" t="s">
        <v>6</v>
      </c>
      <c r="C34" s="117">
        <v>133</v>
      </c>
      <c r="D34" s="118">
        <v>160</v>
      </c>
      <c r="E34" s="119">
        <f>C34*D34</f>
        <v>21280</v>
      </c>
    </row>
    <row r="35" spans="1:7" ht="15.4" thickBot="1">
      <c r="A35" s="19" t="s">
        <v>83</v>
      </c>
      <c r="B35" s="90" t="s">
        <v>6</v>
      </c>
      <c r="C35" s="117">
        <v>0</v>
      </c>
      <c r="D35" s="118">
        <v>160</v>
      </c>
      <c r="E35" s="235">
        <f>C35*D35</f>
        <v>0</v>
      </c>
    </row>
    <row r="36" spans="1:7" ht="15" customHeight="1" thickBot="1">
      <c r="A36" s="120" t="s">
        <v>4</v>
      </c>
      <c r="B36" s="121"/>
      <c r="C36" s="122"/>
      <c r="D36" s="230"/>
      <c r="E36" s="242">
        <f>SUM(E32:E35)</f>
        <v>123200</v>
      </c>
    </row>
    <row r="37" spans="1:7" ht="15">
      <c r="A37" s="17" t="s">
        <v>45</v>
      </c>
      <c r="B37" s="6"/>
      <c r="C37" s="75"/>
      <c r="D37" s="129"/>
      <c r="E37" s="238"/>
    </row>
    <row r="38" spans="1:7" ht="15">
      <c r="A38" s="92" t="s">
        <v>62</v>
      </c>
      <c r="B38" s="90" t="s">
        <v>61</v>
      </c>
      <c r="C38" s="91">
        <f>C32*0.3*0.1*1.1</f>
        <v>12.012000000000002</v>
      </c>
      <c r="D38" s="10"/>
      <c r="E38" s="20">
        <f>C38*D38</f>
        <v>0</v>
      </c>
      <c r="G38" s="74"/>
    </row>
    <row r="39" spans="1:7" ht="16.5" customHeight="1">
      <c r="A39" s="6" t="s">
        <v>87</v>
      </c>
      <c r="B39" s="6" t="str">
        <f>[1]Материал!B28</f>
        <v>м3</v>
      </c>
      <c r="C39" s="131">
        <f>C33</f>
        <v>364</v>
      </c>
      <c r="D39" s="129">
        <v>1300</v>
      </c>
      <c r="E39" s="130">
        <f>C39*D39</f>
        <v>473200</v>
      </c>
    </row>
    <row r="40" spans="1:7" ht="16.5" customHeight="1">
      <c r="A40" s="6" t="s">
        <v>88</v>
      </c>
      <c r="B40" s="6" t="str">
        <f>[1]Материал!B29</f>
        <v>м3</v>
      </c>
      <c r="C40" s="131">
        <f>C34</f>
        <v>133</v>
      </c>
      <c r="D40" s="129">
        <v>1300</v>
      </c>
      <c r="E40" s="130">
        <f>C40*D40</f>
        <v>172900</v>
      </c>
    </row>
    <row r="41" spans="1:7" ht="16.5" customHeight="1">
      <c r="A41" s="6" t="s">
        <v>89</v>
      </c>
      <c r="B41" s="6" t="str">
        <f>[1]Материал!B30</f>
        <v>м2</v>
      </c>
      <c r="C41" s="131">
        <f>C35</f>
        <v>0</v>
      </c>
      <c r="D41" s="129">
        <v>1300</v>
      </c>
      <c r="E41" s="130">
        <f>C41*D41</f>
        <v>0</v>
      </c>
    </row>
    <row r="42" spans="1:7" ht="16.5" customHeight="1" thickBot="1">
      <c r="A42" s="15" t="s">
        <v>90</v>
      </c>
      <c r="B42" s="6" t="s">
        <v>46</v>
      </c>
      <c r="C42" s="6">
        <f>(C39+C40+C41)*2*5</f>
        <v>4970</v>
      </c>
      <c r="D42" s="129">
        <v>3.8</v>
      </c>
      <c r="E42" s="174">
        <f>C42*D42</f>
        <v>18886</v>
      </c>
    </row>
    <row r="43" spans="1:7" ht="18.75" customHeight="1" thickBot="1">
      <c r="A43" s="80" t="s">
        <v>47</v>
      </c>
      <c r="B43" s="81"/>
      <c r="C43" s="82"/>
      <c r="D43" s="167"/>
      <c r="E43" s="177">
        <f>SUM(E38:E42)</f>
        <v>664986</v>
      </c>
    </row>
    <row r="44" spans="1:7" ht="15.4" thickBot="1">
      <c r="A44" s="29" t="s">
        <v>5</v>
      </c>
      <c r="B44" s="30"/>
      <c r="C44" s="31"/>
      <c r="D44" s="69"/>
      <c r="E44" s="73">
        <f>E36+E43</f>
        <v>788186</v>
      </c>
    </row>
    <row r="45" spans="1:7" ht="33" customHeight="1" thickBot="1">
      <c r="A45" s="201" t="s">
        <v>32</v>
      </c>
      <c r="B45" s="202"/>
      <c r="C45" s="202"/>
      <c r="D45" s="202"/>
      <c r="E45" s="203"/>
    </row>
    <row r="46" spans="1:7" ht="15" customHeight="1">
      <c r="A46" s="44" t="s">
        <v>2</v>
      </c>
      <c r="B46" s="45"/>
      <c r="C46" s="84"/>
      <c r="D46" s="85"/>
      <c r="E46" s="86"/>
    </row>
    <row r="47" spans="1:7" ht="30" customHeight="1" thickBot="1">
      <c r="A47" s="15" t="s">
        <v>33</v>
      </c>
      <c r="B47" s="6" t="s">
        <v>3</v>
      </c>
      <c r="C47" s="38">
        <f>C22+337.3</f>
        <v>6814.7</v>
      </c>
      <c r="D47" s="49">
        <v>60</v>
      </c>
      <c r="E47" s="125">
        <f>C47*D47</f>
        <v>408882</v>
      </c>
    </row>
    <row r="48" spans="1:7" ht="15.4" thickBot="1">
      <c r="A48" s="16" t="s">
        <v>4</v>
      </c>
      <c r="B48" s="7"/>
      <c r="C48" s="8"/>
      <c r="D48" s="229"/>
      <c r="E48" s="240">
        <f>E47</f>
        <v>408882</v>
      </c>
    </row>
    <row r="49" spans="1:8" ht="15">
      <c r="A49" s="17" t="s">
        <v>45</v>
      </c>
      <c r="B49" s="6"/>
      <c r="C49" s="75"/>
      <c r="D49" s="49"/>
      <c r="E49" s="28"/>
    </row>
    <row r="50" spans="1:8" ht="16.5" customHeight="1">
      <c r="A50" s="76" t="s">
        <v>48</v>
      </c>
      <c r="B50" s="77" t="s">
        <v>3</v>
      </c>
      <c r="C50" s="78">
        <f>C47*1.15</f>
        <v>7836.9049999999988</v>
      </c>
      <c r="D50" s="79"/>
      <c r="E50" s="18">
        <f>C50*D50</f>
        <v>0</v>
      </c>
      <c r="F50" s="74"/>
      <c r="G50" s="74"/>
    </row>
    <row r="51" spans="1:8" ht="16.5" customHeight="1" thickBot="1">
      <c r="A51" s="76" t="s">
        <v>49</v>
      </c>
      <c r="B51" s="77" t="s">
        <v>46</v>
      </c>
      <c r="C51" s="245">
        <f>((C47/3)+C131+C130)/25</f>
        <v>97.75066666666666</v>
      </c>
      <c r="D51" s="79"/>
      <c r="E51" s="18">
        <f>C51*D51</f>
        <v>0</v>
      </c>
      <c r="F51" s="74"/>
      <c r="G51" s="74"/>
    </row>
    <row r="52" spans="1:8" ht="18.75" customHeight="1" thickBot="1">
      <c r="A52" s="80" t="s">
        <v>47</v>
      </c>
      <c r="B52" s="81"/>
      <c r="C52" s="82"/>
      <c r="D52" s="83"/>
      <c r="E52" s="87">
        <f>E50+E51</f>
        <v>0</v>
      </c>
      <c r="F52" s="74"/>
    </row>
    <row r="53" spans="1:8" ht="15.4" thickBot="1">
      <c r="A53" s="29" t="s">
        <v>5</v>
      </c>
      <c r="B53" s="30"/>
      <c r="C53" s="31"/>
      <c r="D53" s="69"/>
      <c r="E53" s="73">
        <f>E48+E52</f>
        <v>408882</v>
      </c>
    </row>
    <row r="54" spans="1:8" ht="33.75" customHeight="1" thickBot="1">
      <c r="A54" s="201" t="s">
        <v>91</v>
      </c>
      <c r="B54" s="202"/>
      <c r="C54" s="202"/>
      <c r="D54" s="202"/>
      <c r="E54" s="203"/>
    </row>
    <row r="55" spans="1:8" ht="15">
      <c r="A55" s="25" t="s">
        <v>2</v>
      </c>
      <c r="B55" s="26"/>
      <c r="C55" s="32"/>
      <c r="D55" s="27"/>
      <c r="E55" s="28"/>
    </row>
    <row r="56" spans="1:8" ht="30">
      <c r="A56" s="15" t="s">
        <v>92</v>
      </c>
      <c r="B56" s="6" t="s">
        <v>3</v>
      </c>
      <c r="C56" s="38">
        <f>C47</f>
        <v>6814.7</v>
      </c>
      <c r="D56" s="49">
        <v>280</v>
      </c>
      <c r="E56" s="18">
        <f>C56*D56</f>
        <v>1908116</v>
      </c>
    </row>
    <row r="57" spans="1:8" ht="18" customHeight="1">
      <c r="A57" s="15" t="s">
        <v>162</v>
      </c>
      <c r="B57" s="6" t="s">
        <v>3</v>
      </c>
      <c r="C57" s="38">
        <f>C56-C58</f>
        <v>6477.4</v>
      </c>
      <c r="D57" s="49">
        <v>75</v>
      </c>
      <c r="E57" s="18">
        <f>C57*D57</f>
        <v>485805</v>
      </c>
    </row>
    <row r="58" spans="1:8" ht="18" customHeight="1" thickBot="1">
      <c r="A58" s="15" t="s">
        <v>163</v>
      </c>
      <c r="B58" s="6" t="s">
        <v>3</v>
      </c>
      <c r="C58" s="38">
        <v>337.3</v>
      </c>
      <c r="D58" s="49">
        <v>100</v>
      </c>
      <c r="E58" s="125">
        <f>C58*D58</f>
        <v>33730</v>
      </c>
    </row>
    <row r="59" spans="1:8" ht="15.4" thickBot="1">
      <c r="A59" s="16" t="s">
        <v>4</v>
      </c>
      <c r="B59" s="7"/>
      <c r="C59" s="8"/>
      <c r="D59" s="229"/>
      <c r="E59" s="240">
        <f>SUM(E56:E58)</f>
        <v>2427651</v>
      </c>
    </row>
    <row r="60" spans="1:8" ht="15">
      <c r="A60" s="17" t="s">
        <v>45</v>
      </c>
      <c r="B60" s="6"/>
      <c r="C60" s="75"/>
      <c r="D60" s="49"/>
      <c r="E60" s="28"/>
    </row>
    <row r="61" spans="1:8" ht="15">
      <c r="A61" s="15" t="s">
        <v>93</v>
      </c>
      <c r="B61" s="6" t="s">
        <v>3</v>
      </c>
      <c r="C61" s="78">
        <f>C47*1.03*2</f>
        <v>14038.281999999999</v>
      </c>
      <c r="D61" s="79"/>
      <c r="E61" s="18">
        <f>C61*D61</f>
        <v>0</v>
      </c>
      <c r="G61" s="74"/>
    </row>
    <row r="62" spans="1:8" ht="16.5" customHeight="1">
      <c r="A62" s="76" t="s">
        <v>94</v>
      </c>
      <c r="B62" s="77" t="s">
        <v>46</v>
      </c>
      <c r="C62" s="78">
        <f>C47*5</f>
        <v>34073.5</v>
      </c>
      <c r="D62" s="79"/>
      <c r="E62" s="18">
        <f>C62*D62</f>
        <v>0</v>
      </c>
      <c r="G62" s="74"/>
      <c r="H62" s="74"/>
    </row>
    <row r="63" spans="1:8" ht="16.5" customHeight="1">
      <c r="A63" s="76" t="s">
        <v>51</v>
      </c>
      <c r="B63" s="77" t="s">
        <v>46</v>
      </c>
      <c r="C63" s="78">
        <f>C22*5</f>
        <v>32387</v>
      </c>
      <c r="D63" s="79"/>
      <c r="E63" s="18">
        <f>C63*D63</f>
        <v>0</v>
      </c>
      <c r="G63" s="74"/>
      <c r="H63" s="74"/>
    </row>
    <row r="64" spans="1:8" ht="16.5" customHeight="1">
      <c r="A64" s="76" t="s">
        <v>95</v>
      </c>
      <c r="B64" s="77" t="s">
        <v>46</v>
      </c>
      <c r="C64" s="78">
        <f>C58*5</f>
        <v>1686.5</v>
      </c>
      <c r="D64" s="79"/>
      <c r="E64" s="18">
        <f>C64*D64</f>
        <v>0</v>
      </c>
      <c r="G64" s="74"/>
      <c r="H64" s="74"/>
    </row>
    <row r="65" spans="1:8" ht="16.5" customHeight="1" thickBot="1">
      <c r="A65" s="76" t="s">
        <v>96</v>
      </c>
      <c r="B65" s="77" t="s">
        <v>46</v>
      </c>
      <c r="C65" s="78">
        <f>C64</f>
        <v>1686.5</v>
      </c>
      <c r="D65" s="79"/>
      <c r="E65" s="18">
        <f>C65*D65</f>
        <v>0</v>
      </c>
      <c r="G65" s="74"/>
      <c r="H65" s="74"/>
    </row>
    <row r="66" spans="1:8" ht="15.4" thickBot="1">
      <c r="A66" s="80" t="s">
        <v>47</v>
      </c>
      <c r="B66" s="81"/>
      <c r="C66" s="82"/>
      <c r="D66" s="83"/>
      <c r="E66" s="87">
        <f>SUM(E61:E65)</f>
        <v>0</v>
      </c>
    </row>
    <row r="67" spans="1:8" ht="17.649999999999999" customHeight="1" thickBot="1">
      <c r="A67" s="48" t="s">
        <v>5</v>
      </c>
      <c r="B67" s="88"/>
      <c r="C67" s="88"/>
      <c r="D67" s="89"/>
      <c r="E67" s="73">
        <f>E59+E66</f>
        <v>2427651</v>
      </c>
    </row>
    <row r="68" spans="1:8" s="138" customFormat="1" ht="36" customHeight="1" thickBot="1">
      <c r="A68" s="186" t="s">
        <v>114</v>
      </c>
      <c r="B68" s="187"/>
      <c r="C68" s="187"/>
      <c r="D68" s="187"/>
      <c r="E68" s="188"/>
    </row>
    <row r="69" spans="1:8" s="143" customFormat="1" ht="16.350000000000001" customHeight="1">
      <c r="A69" s="182" t="s">
        <v>108</v>
      </c>
      <c r="B69" s="183"/>
      <c r="C69" s="183"/>
      <c r="D69" s="184"/>
      <c r="E69" s="185"/>
    </row>
    <row r="70" spans="1:8" s="143" customFormat="1" ht="15">
      <c r="A70" s="148" t="s">
        <v>141</v>
      </c>
      <c r="B70" s="145" t="s">
        <v>109</v>
      </c>
      <c r="C70" s="153">
        <v>96</v>
      </c>
      <c r="D70" s="146" t="s">
        <v>111</v>
      </c>
      <c r="E70" s="147">
        <f>D70*C70</f>
        <v>16320</v>
      </c>
    </row>
    <row r="71" spans="1:8" ht="18" customHeight="1" thickBot="1">
      <c r="A71" s="15" t="s">
        <v>164</v>
      </c>
      <c r="B71" s="6" t="s">
        <v>3</v>
      </c>
      <c r="C71" s="38">
        <f>C70</f>
        <v>96</v>
      </c>
      <c r="D71" s="49">
        <f>D57</f>
        <v>75</v>
      </c>
      <c r="E71" s="125">
        <f>C71*D71</f>
        <v>7200</v>
      </c>
    </row>
    <row r="72" spans="1:8" s="143" customFormat="1" ht="17.25" customHeight="1" thickBot="1">
      <c r="A72" s="149" t="s">
        <v>110</v>
      </c>
      <c r="B72" s="150"/>
      <c r="C72" s="150"/>
      <c r="D72" s="227"/>
      <c r="E72" s="241">
        <f>E70+E71</f>
        <v>23520</v>
      </c>
    </row>
    <row r="73" spans="1:8" ht="15">
      <c r="A73" s="17" t="s">
        <v>45</v>
      </c>
      <c r="B73" s="6"/>
      <c r="C73" s="75"/>
      <c r="D73" s="129"/>
      <c r="E73" s="239"/>
      <c r="F73" s="134" t="s">
        <v>112</v>
      </c>
    </row>
    <row r="74" spans="1:8" ht="16.5" customHeight="1">
      <c r="A74" s="76" t="s">
        <v>115</v>
      </c>
      <c r="B74" s="77" t="s">
        <v>127</v>
      </c>
      <c r="C74" s="78">
        <v>1.7496</v>
      </c>
      <c r="D74" s="79"/>
      <c r="E74" s="18">
        <f t="shared" ref="E74:E86" si="0">D74*C74</f>
        <v>0</v>
      </c>
      <c r="G74" s="74"/>
      <c r="H74" s="74"/>
    </row>
    <row r="75" spans="1:8" ht="16.5" customHeight="1">
      <c r="A75" s="76" t="s">
        <v>116</v>
      </c>
      <c r="B75" s="77" t="s">
        <v>127</v>
      </c>
      <c r="C75" s="78">
        <v>2.4624000000000001</v>
      </c>
      <c r="D75" s="79"/>
      <c r="E75" s="18">
        <f t="shared" si="0"/>
        <v>0</v>
      </c>
      <c r="G75" s="74"/>
      <c r="H75" s="74"/>
    </row>
    <row r="76" spans="1:8" ht="16.5" customHeight="1">
      <c r="A76" s="76" t="s">
        <v>117</v>
      </c>
      <c r="B76" s="77" t="s">
        <v>127</v>
      </c>
      <c r="C76" s="78">
        <v>3.28512</v>
      </c>
      <c r="D76" s="79"/>
      <c r="E76" s="18">
        <f t="shared" si="0"/>
        <v>0</v>
      </c>
      <c r="G76" s="74"/>
      <c r="H76" s="74"/>
    </row>
    <row r="77" spans="1:8" ht="16.5" customHeight="1">
      <c r="A77" s="76" t="s">
        <v>94</v>
      </c>
      <c r="B77" s="77" t="s">
        <v>46</v>
      </c>
      <c r="C77" s="78">
        <v>88</v>
      </c>
      <c r="D77" s="79"/>
      <c r="E77" s="18">
        <f t="shared" si="0"/>
        <v>0</v>
      </c>
      <c r="G77" s="74">
        <v>1200</v>
      </c>
      <c r="H77" s="74"/>
    </row>
    <row r="78" spans="1:8" ht="16.5" customHeight="1">
      <c r="A78" s="76" t="s">
        <v>118</v>
      </c>
      <c r="B78" s="77" t="s">
        <v>46</v>
      </c>
      <c r="C78" s="78">
        <v>72</v>
      </c>
      <c r="D78" s="79"/>
      <c r="E78" s="18">
        <f t="shared" si="0"/>
        <v>0</v>
      </c>
      <c r="G78" s="74">
        <v>930</v>
      </c>
      <c r="H78" s="74"/>
    </row>
    <row r="79" spans="1:8" ht="16.5" customHeight="1">
      <c r="A79" s="76" t="s">
        <v>119</v>
      </c>
      <c r="B79" s="77" t="s">
        <v>46</v>
      </c>
      <c r="C79" s="78">
        <v>58</v>
      </c>
      <c r="D79" s="79"/>
      <c r="E79" s="18">
        <f t="shared" si="0"/>
        <v>0</v>
      </c>
      <c r="G79" s="74">
        <v>720</v>
      </c>
      <c r="H79" s="74"/>
    </row>
    <row r="80" spans="1:8" ht="16.5" customHeight="1">
      <c r="A80" s="76" t="s">
        <v>120</v>
      </c>
      <c r="B80" s="77" t="s">
        <v>46</v>
      </c>
      <c r="C80" s="78">
        <v>46</v>
      </c>
      <c r="D80" s="79"/>
      <c r="E80" s="18">
        <f t="shared" si="0"/>
        <v>0</v>
      </c>
      <c r="G80" s="74">
        <v>470</v>
      </c>
      <c r="H80" s="74"/>
    </row>
    <row r="81" spans="1:8" ht="16.5" customHeight="1">
      <c r="A81" s="76" t="s">
        <v>121</v>
      </c>
      <c r="B81" s="77" t="s">
        <v>46</v>
      </c>
      <c r="C81" s="78">
        <v>30</v>
      </c>
      <c r="D81" s="79"/>
      <c r="E81" s="18">
        <f t="shared" si="0"/>
        <v>0</v>
      </c>
      <c r="G81" s="74">
        <v>450</v>
      </c>
      <c r="H81" s="74"/>
    </row>
    <row r="82" spans="1:8" ht="16.5" customHeight="1">
      <c r="A82" s="76" t="s">
        <v>122</v>
      </c>
      <c r="B82" s="77" t="s">
        <v>46</v>
      </c>
      <c r="C82" s="78">
        <v>18</v>
      </c>
      <c r="D82" s="79"/>
      <c r="E82" s="18">
        <f t="shared" si="0"/>
        <v>0</v>
      </c>
      <c r="G82" s="74">
        <v>330</v>
      </c>
      <c r="H82" s="74"/>
    </row>
    <row r="83" spans="1:8" ht="16.5" customHeight="1">
      <c r="A83" s="76" t="s">
        <v>123</v>
      </c>
      <c r="B83" s="77" t="s">
        <v>46</v>
      </c>
      <c r="C83" s="78">
        <v>6</v>
      </c>
      <c r="D83" s="79"/>
      <c r="E83" s="18">
        <f t="shared" si="0"/>
        <v>0</v>
      </c>
      <c r="G83" s="74">
        <v>280</v>
      </c>
      <c r="H83" s="74"/>
    </row>
    <row r="84" spans="1:8" ht="16.5" customHeight="1">
      <c r="A84" s="76" t="s">
        <v>124</v>
      </c>
      <c r="B84" s="77" t="s">
        <v>46</v>
      </c>
      <c r="C84" s="78">
        <v>132</v>
      </c>
      <c r="D84" s="79"/>
      <c r="E84" s="18">
        <f t="shared" si="0"/>
        <v>0</v>
      </c>
      <c r="G84" s="74">
        <v>350</v>
      </c>
      <c r="H84" s="74"/>
    </row>
    <row r="85" spans="1:8" ht="16.5" customHeight="1">
      <c r="A85" s="76" t="s">
        <v>125</v>
      </c>
      <c r="B85" s="77" t="s">
        <v>46</v>
      </c>
      <c r="C85" s="78">
        <v>250</v>
      </c>
      <c r="D85" s="79"/>
      <c r="E85" s="18">
        <f t="shared" si="0"/>
        <v>0</v>
      </c>
      <c r="G85" s="74">
        <v>250</v>
      </c>
      <c r="H85" s="74"/>
    </row>
    <row r="86" spans="1:8" ht="16.5" customHeight="1" thickBot="1">
      <c r="A86" s="76" t="s">
        <v>126</v>
      </c>
      <c r="B86" s="77" t="s">
        <v>46</v>
      </c>
      <c r="C86" s="78">
        <v>2500</v>
      </c>
      <c r="D86" s="79"/>
      <c r="E86" s="125">
        <f t="shared" si="0"/>
        <v>0</v>
      </c>
      <c r="G86" s="74">
        <v>2500</v>
      </c>
      <c r="H86" s="74"/>
    </row>
    <row r="87" spans="1:8" ht="18.75" customHeight="1" thickBot="1">
      <c r="A87" s="80" t="s">
        <v>47</v>
      </c>
      <c r="B87" s="81"/>
      <c r="C87" s="82"/>
      <c r="D87" s="167"/>
      <c r="E87" s="177">
        <f>SUM(E74:E86)</f>
        <v>0</v>
      </c>
    </row>
    <row r="88" spans="1:8" s="143" customFormat="1" ht="17.25" customHeight="1" thickBot="1">
      <c r="A88" s="154" t="s">
        <v>113</v>
      </c>
      <c r="B88" s="155"/>
      <c r="C88" s="155"/>
      <c r="D88" s="170"/>
      <c r="E88" s="176">
        <f>E72+E87</f>
        <v>23520</v>
      </c>
    </row>
    <row r="89" spans="1:8" s="138" customFormat="1" ht="36" customHeight="1" thickBot="1">
      <c r="A89" s="186" t="s">
        <v>19</v>
      </c>
      <c r="B89" s="187"/>
      <c r="C89" s="187"/>
      <c r="D89" s="187"/>
      <c r="E89" s="188"/>
    </row>
    <row r="90" spans="1:8" ht="15">
      <c r="A90" s="25" t="s">
        <v>2</v>
      </c>
      <c r="B90" s="26"/>
      <c r="C90" s="26"/>
      <c r="D90" s="26"/>
      <c r="E90" s="33"/>
    </row>
    <row r="91" spans="1:8" ht="15">
      <c r="A91" s="15" t="s">
        <v>35</v>
      </c>
      <c r="B91" s="6" t="s">
        <v>3</v>
      </c>
      <c r="C91" s="39">
        <v>0</v>
      </c>
      <c r="D91" s="49">
        <v>60</v>
      </c>
      <c r="E91" s="20">
        <f t="shared" ref="E91:E97" si="1">C91*D91</f>
        <v>0</v>
      </c>
    </row>
    <row r="92" spans="1:8" ht="50.25" customHeight="1">
      <c r="A92" s="15" t="s">
        <v>97</v>
      </c>
      <c r="B92" s="6" t="s">
        <v>3</v>
      </c>
      <c r="C92" s="39">
        <f>C22-C93</f>
        <v>5571.4</v>
      </c>
      <c r="D92" s="49">
        <v>310</v>
      </c>
      <c r="E92" s="20">
        <f t="shared" si="1"/>
        <v>1727134</v>
      </c>
    </row>
    <row r="93" spans="1:8" ht="49.5" customHeight="1">
      <c r="A93" s="15" t="s">
        <v>98</v>
      </c>
      <c r="B93" s="6" t="s">
        <v>3</v>
      </c>
      <c r="C93" s="39">
        <v>906</v>
      </c>
      <c r="D93" s="49">
        <v>385</v>
      </c>
      <c r="E93" s="20">
        <f t="shared" si="1"/>
        <v>348810</v>
      </c>
    </row>
    <row r="94" spans="1:8" ht="18.75" customHeight="1">
      <c r="A94" s="15" t="s">
        <v>99</v>
      </c>
      <c r="B94" s="6" t="s">
        <v>3</v>
      </c>
      <c r="C94" s="39">
        <f>C92+C93</f>
        <v>6477.4</v>
      </c>
      <c r="D94" s="49">
        <f>D57</f>
        <v>75</v>
      </c>
      <c r="E94" s="20">
        <f t="shared" si="1"/>
        <v>485805</v>
      </c>
    </row>
    <row r="95" spans="1:8" ht="50.25" customHeight="1">
      <c r="A95" s="15" t="s">
        <v>100</v>
      </c>
      <c r="B95" s="6" t="s">
        <v>3</v>
      </c>
      <c r="C95" s="39">
        <f>337.3-C96</f>
        <v>285.7</v>
      </c>
      <c r="D95" s="49">
        <f>D93</f>
        <v>385</v>
      </c>
      <c r="E95" s="20">
        <f t="shared" si="1"/>
        <v>109994.5</v>
      </c>
    </row>
    <row r="96" spans="1:8" ht="49.5" customHeight="1">
      <c r="A96" s="15" t="s">
        <v>101</v>
      </c>
      <c r="B96" s="6" t="s">
        <v>3</v>
      </c>
      <c r="C96" s="39">
        <v>51.6</v>
      </c>
      <c r="D96" s="49">
        <v>480</v>
      </c>
      <c r="E96" s="20">
        <f t="shared" si="1"/>
        <v>24768</v>
      </c>
    </row>
    <row r="97" spans="1:8" ht="15.4" thickBot="1">
      <c r="A97" s="15" t="s">
        <v>102</v>
      </c>
      <c r="B97" s="6" t="s">
        <v>3</v>
      </c>
      <c r="C97" s="39">
        <f>C95+C96</f>
        <v>337.3</v>
      </c>
      <c r="D97" s="49">
        <f>D58</f>
        <v>100</v>
      </c>
      <c r="E97" s="232">
        <f t="shared" si="1"/>
        <v>33730</v>
      </c>
    </row>
    <row r="98" spans="1:8" ht="15.4" thickBot="1">
      <c r="A98" s="16" t="s">
        <v>4</v>
      </c>
      <c r="B98" s="7"/>
      <c r="C98" s="11"/>
      <c r="D98" s="229"/>
      <c r="E98" s="240">
        <f>SUM(E91:E97)</f>
        <v>2730241.5</v>
      </c>
    </row>
    <row r="99" spans="1:8" ht="15">
      <c r="A99" s="17" t="s">
        <v>45</v>
      </c>
      <c r="B99" s="6"/>
      <c r="C99" s="75"/>
      <c r="D99" s="49"/>
      <c r="E99" s="28"/>
    </row>
    <row r="100" spans="1:8" ht="15">
      <c r="A100" s="15" t="s">
        <v>52</v>
      </c>
      <c r="B100" s="6" t="s">
        <v>3</v>
      </c>
      <c r="C100" s="78">
        <f>C47*1.18</f>
        <v>8041.3459999999995</v>
      </c>
      <c r="D100" s="79"/>
      <c r="E100" s="18">
        <f t="shared" ref="E100:E105" si="2">C100*D100</f>
        <v>0</v>
      </c>
      <c r="G100" s="74"/>
    </row>
    <row r="101" spans="1:8" ht="16.5" customHeight="1">
      <c r="A101" s="76" t="s">
        <v>50</v>
      </c>
      <c r="B101" s="77" t="s">
        <v>46</v>
      </c>
      <c r="C101" s="78">
        <f>C94*5</f>
        <v>32387</v>
      </c>
      <c r="D101" s="79"/>
      <c r="E101" s="18">
        <f t="shared" si="2"/>
        <v>0</v>
      </c>
      <c r="G101" s="74"/>
      <c r="H101" s="74"/>
    </row>
    <row r="102" spans="1:8" ht="16.5" customHeight="1">
      <c r="A102" s="76" t="s">
        <v>51</v>
      </c>
      <c r="B102" s="77" t="s">
        <v>46</v>
      </c>
      <c r="C102" s="78">
        <f>C101</f>
        <v>32387</v>
      </c>
      <c r="D102" s="79"/>
      <c r="E102" s="18">
        <f t="shared" si="2"/>
        <v>0</v>
      </c>
      <c r="G102" s="74"/>
      <c r="H102" s="74"/>
    </row>
    <row r="103" spans="1:8" ht="15">
      <c r="A103" s="76" t="s">
        <v>63</v>
      </c>
      <c r="B103" s="93" t="s">
        <v>46</v>
      </c>
      <c r="C103" s="94">
        <v>15</v>
      </c>
      <c r="D103" s="49"/>
      <c r="E103" s="95">
        <f t="shared" si="2"/>
        <v>0</v>
      </c>
    </row>
    <row r="104" spans="1:8" ht="16.5" customHeight="1">
      <c r="A104" s="76" t="s">
        <v>95</v>
      </c>
      <c r="B104" s="77" t="s">
        <v>46</v>
      </c>
      <c r="C104" s="78">
        <f>C97*5</f>
        <v>1686.5</v>
      </c>
      <c r="D104" s="79"/>
      <c r="E104" s="18">
        <f t="shared" si="2"/>
        <v>0</v>
      </c>
      <c r="G104" s="74"/>
      <c r="H104" s="74"/>
    </row>
    <row r="105" spans="1:8" ht="16.5" customHeight="1" thickBot="1">
      <c r="A105" s="76" t="s">
        <v>96</v>
      </c>
      <c r="B105" s="77" t="s">
        <v>46</v>
      </c>
      <c r="C105" s="78">
        <f>C104</f>
        <v>1686.5</v>
      </c>
      <c r="D105" s="79"/>
      <c r="E105" s="18">
        <f t="shared" si="2"/>
        <v>0</v>
      </c>
      <c r="G105" s="74"/>
      <c r="H105" s="74"/>
    </row>
    <row r="106" spans="1:8" ht="15.4" thickBot="1">
      <c r="A106" s="80" t="s">
        <v>47</v>
      </c>
      <c r="B106" s="81"/>
      <c r="C106" s="82"/>
      <c r="D106" s="83"/>
      <c r="E106" s="87">
        <f>SUM(E100:E105)</f>
        <v>0</v>
      </c>
    </row>
    <row r="107" spans="1:8" ht="15.4" thickBot="1">
      <c r="A107" s="29" t="s">
        <v>5</v>
      </c>
      <c r="B107" s="34"/>
      <c r="C107" s="34"/>
      <c r="D107" s="70"/>
      <c r="E107" s="73">
        <f>E98+E106</f>
        <v>2730241.5</v>
      </c>
    </row>
    <row r="108" spans="1:8" s="138" customFormat="1" ht="36" customHeight="1" thickBot="1">
      <c r="A108" s="186" t="s">
        <v>34</v>
      </c>
      <c r="B108" s="187"/>
      <c r="C108" s="187"/>
      <c r="D108" s="187"/>
      <c r="E108" s="188"/>
    </row>
    <row r="109" spans="1:8" ht="15">
      <c r="A109" s="44" t="s">
        <v>2</v>
      </c>
      <c r="B109" s="45"/>
      <c r="C109" s="45"/>
      <c r="D109" s="45"/>
      <c r="E109" s="46"/>
    </row>
    <row r="110" spans="1:8" ht="15">
      <c r="A110" s="15" t="s">
        <v>36</v>
      </c>
      <c r="B110" s="6" t="s">
        <v>6</v>
      </c>
      <c r="C110" s="39">
        <f>C34*2</f>
        <v>266</v>
      </c>
      <c r="D110" s="10">
        <v>500</v>
      </c>
      <c r="E110" s="20">
        <f>C110*D110</f>
        <v>133000</v>
      </c>
    </row>
    <row r="111" spans="1:8" ht="15">
      <c r="A111" s="15" t="s">
        <v>106</v>
      </c>
      <c r="B111" s="6" t="s">
        <v>6</v>
      </c>
      <c r="C111" s="39">
        <f>C110</f>
        <v>266</v>
      </c>
      <c r="D111" s="10">
        <v>180</v>
      </c>
      <c r="E111" s="20">
        <f>C111*D111</f>
        <v>47880</v>
      </c>
    </row>
    <row r="112" spans="1:8" ht="15">
      <c r="A112" s="15" t="s">
        <v>37</v>
      </c>
      <c r="B112" s="6" t="s">
        <v>6</v>
      </c>
      <c r="C112" s="39">
        <f>C110</f>
        <v>266</v>
      </c>
      <c r="D112" s="10">
        <v>160</v>
      </c>
      <c r="E112" s="20">
        <f>C112*D112</f>
        <v>42560</v>
      </c>
    </row>
    <row r="113" spans="1:14" ht="15.4" thickBot="1">
      <c r="A113" s="15" t="s">
        <v>38</v>
      </c>
      <c r="B113" s="6" t="s">
        <v>6</v>
      </c>
      <c r="C113" s="39">
        <f>C110</f>
        <v>266</v>
      </c>
      <c r="D113" s="10">
        <v>500</v>
      </c>
      <c r="E113" s="232">
        <f>C113*D113</f>
        <v>133000</v>
      </c>
    </row>
    <row r="114" spans="1:14" ht="15.4" thickBot="1">
      <c r="A114" s="16" t="s">
        <v>4</v>
      </c>
      <c r="B114" s="7"/>
      <c r="C114" s="11"/>
      <c r="D114" s="228"/>
      <c r="E114" s="240">
        <f>SUM(E110:E113)</f>
        <v>356440</v>
      </c>
    </row>
    <row r="115" spans="1:14" ht="15">
      <c r="A115" s="17" t="s">
        <v>45</v>
      </c>
      <c r="B115" s="6"/>
      <c r="C115" s="39"/>
      <c r="D115" s="10"/>
      <c r="E115" s="237"/>
    </row>
    <row r="116" spans="1:14" ht="15">
      <c r="A116" s="15" t="s">
        <v>53</v>
      </c>
      <c r="B116" s="6" t="s">
        <v>6</v>
      </c>
      <c r="C116" s="39">
        <f>C110</f>
        <v>266</v>
      </c>
      <c r="D116" s="10">
        <f>29000/C116/0.1/0.1/6</f>
        <v>1817.0426065162903</v>
      </c>
      <c r="E116" s="20">
        <f t="shared" ref="E116:E125" si="3">C116*D116</f>
        <v>483333.33333333326</v>
      </c>
      <c r="G116" s="74"/>
    </row>
    <row r="117" spans="1:14" ht="15">
      <c r="A117" s="15" t="s">
        <v>105</v>
      </c>
      <c r="B117" s="6" t="s">
        <v>6</v>
      </c>
      <c r="C117" s="39">
        <f>C110</f>
        <v>266</v>
      </c>
      <c r="D117" s="10"/>
      <c r="E117" s="20">
        <f t="shared" si="3"/>
        <v>0</v>
      </c>
      <c r="G117" s="74"/>
    </row>
    <row r="118" spans="1:14" ht="15">
      <c r="A118" s="37" t="s">
        <v>70</v>
      </c>
      <c r="B118" s="36" t="s">
        <v>46</v>
      </c>
      <c r="C118" s="39">
        <f>C110*5</f>
        <v>1330</v>
      </c>
      <c r="D118" s="10"/>
      <c r="E118" s="20">
        <f t="shared" si="3"/>
        <v>0</v>
      </c>
      <c r="G118" s="74"/>
    </row>
    <row r="119" spans="1:14" ht="15">
      <c r="A119" s="15" t="s">
        <v>54</v>
      </c>
      <c r="B119" s="6" t="s">
        <v>46</v>
      </c>
      <c r="C119" s="39">
        <f>C110*5</f>
        <v>1330</v>
      </c>
      <c r="D119" s="10"/>
      <c r="E119" s="20">
        <f t="shared" si="3"/>
        <v>0</v>
      </c>
      <c r="G119" s="74"/>
    </row>
    <row r="120" spans="1:14" ht="15">
      <c r="A120" s="15" t="s">
        <v>55</v>
      </c>
      <c r="B120" s="6" t="s">
        <v>46</v>
      </c>
      <c r="C120" s="39">
        <f>C110*5</f>
        <v>1330</v>
      </c>
      <c r="D120" s="10"/>
      <c r="E120" s="20">
        <f t="shared" si="3"/>
        <v>0</v>
      </c>
      <c r="G120" s="74"/>
      <c r="N120" s="90"/>
    </row>
    <row r="121" spans="1:14" ht="15">
      <c r="A121" s="15" t="s">
        <v>56</v>
      </c>
      <c r="B121" s="6" t="s">
        <v>6</v>
      </c>
      <c r="C121" s="39">
        <v>430</v>
      </c>
      <c r="D121" s="10">
        <v>450</v>
      </c>
      <c r="E121" s="20">
        <f t="shared" si="3"/>
        <v>193500</v>
      </c>
      <c r="G121" s="74"/>
      <c r="N121" s="90"/>
    </row>
    <row r="122" spans="1:14" ht="15">
      <c r="A122" s="15" t="s">
        <v>57</v>
      </c>
      <c r="B122" s="6" t="s">
        <v>46</v>
      </c>
      <c r="C122" s="136">
        <f>C116*0.6+6</f>
        <v>165.6</v>
      </c>
      <c r="D122" s="10">
        <v>200</v>
      </c>
      <c r="E122" s="20">
        <f t="shared" si="3"/>
        <v>33120</v>
      </c>
      <c r="G122" s="74"/>
    </row>
    <row r="123" spans="1:14" ht="15">
      <c r="A123" s="15" t="s">
        <v>58</v>
      </c>
      <c r="B123" s="6" t="s">
        <v>46</v>
      </c>
      <c r="C123" s="136">
        <f>C122*4</f>
        <v>662.4</v>
      </c>
      <c r="D123" s="10"/>
      <c r="E123" s="20">
        <f t="shared" si="3"/>
        <v>0</v>
      </c>
      <c r="G123" s="74"/>
    </row>
    <row r="124" spans="1:14" ht="15">
      <c r="A124" s="15" t="s">
        <v>107</v>
      </c>
      <c r="B124" s="6" t="s">
        <v>59</v>
      </c>
      <c r="C124" s="39">
        <f>C110*1.05</f>
        <v>279.3</v>
      </c>
      <c r="D124" s="10"/>
      <c r="E124" s="20">
        <f t="shared" si="3"/>
        <v>0</v>
      </c>
      <c r="G124" s="74"/>
    </row>
    <row r="125" spans="1:14" ht="15.4" thickBot="1">
      <c r="A125" s="15" t="s">
        <v>60</v>
      </c>
      <c r="B125" s="6" t="s">
        <v>59</v>
      </c>
      <c r="C125" s="39">
        <f>C124*5*2</f>
        <v>2793</v>
      </c>
      <c r="D125" s="10"/>
      <c r="E125" s="20">
        <f t="shared" si="3"/>
        <v>0</v>
      </c>
      <c r="G125" s="74"/>
    </row>
    <row r="126" spans="1:14" ht="15.4" thickBot="1">
      <c r="A126" s="80" t="s">
        <v>47</v>
      </c>
      <c r="B126" s="81"/>
      <c r="C126" s="82"/>
      <c r="D126" s="83"/>
      <c r="E126" s="87">
        <f>SUM(E116:E125)</f>
        <v>709953.33333333326</v>
      </c>
    </row>
    <row r="127" spans="1:14" ht="15.4" thickBot="1">
      <c r="A127" s="29" t="s">
        <v>5</v>
      </c>
      <c r="B127" s="34"/>
      <c r="C127" s="34"/>
      <c r="D127" s="70"/>
      <c r="E127" s="73">
        <f>E114+E126</f>
        <v>1066393.3333333333</v>
      </c>
    </row>
    <row r="128" spans="1:14" s="138" customFormat="1" ht="36" customHeight="1" thickBot="1">
      <c r="A128" s="186" t="s">
        <v>39</v>
      </c>
      <c r="B128" s="187"/>
      <c r="C128" s="187"/>
      <c r="D128" s="187"/>
      <c r="E128" s="188"/>
    </row>
    <row r="129" spans="1:7" ht="15">
      <c r="A129" s="47" t="s">
        <v>2</v>
      </c>
      <c r="B129" s="9"/>
      <c r="C129" s="43"/>
      <c r="D129" s="12"/>
      <c r="E129" s="21"/>
    </row>
    <row r="130" spans="1:7" ht="49.5" customHeight="1">
      <c r="A130" s="19" t="s">
        <v>103</v>
      </c>
      <c r="B130" s="9" t="s">
        <v>6</v>
      </c>
      <c r="C130" s="39">
        <f>2*48</f>
        <v>96</v>
      </c>
      <c r="D130" s="12">
        <v>430</v>
      </c>
      <c r="E130" s="21">
        <f>C130*D130</f>
        <v>41280</v>
      </c>
      <c r="F130" s="1"/>
    </row>
    <row r="131" spans="1:7" ht="49.5" customHeight="1" thickBot="1">
      <c r="A131" s="19" t="s">
        <v>104</v>
      </c>
      <c r="B131" s="9" t="s">
        <v>6</v>
      </c>
      <c r="C131" s="39">
        <v>76.2</v>
      </c>
      <c r="D131" s="12">
        <v>470</v>
      </c>
      <c r="E131" s="234">
        <f>C131*D131</f>
        <v>35814</v>
      </c>
      <c r="F131" s="1"/>
    </row>
    <row r="132" spans="1:7" ht="15.4" thickBot="1">
      <c r="A132" s="16" t="s">
        <v>4</v>
      </c>
      <c r="B132" s="7"/>
      <c r="C132" s="11"/>
      <c r="D132" s="228"/>
      <c r="E132" s="240">
        <f>E131+E130</f>
        <v>77094</v>
      </c>
      <c r="F132" s="1"/>
    </row>
    <row r="133" spans="1:7" ht="15">
      <c r="A133" s="17" t="s">
        <v>45</v>
      </c>
      <c r="B133" s="6"/>
      <c r="C133" s="39"/>
      <c r="D133" s="10"/>
      <c r="E133" s="237"/>
    </row>
    <row r="134" spans="1:7" ht="30">
      <c r="A134" s="96" t="s">
        <v>64</v>
      </c>
      <c r="B134" s="97" t="s">
        <v>3</v>
      </c>
      <c r="C134" s="94">
        <f>C131+C130</f>
        <v>172.2</v>
      </c>
      <c r="D134" s="10"/>
      <c r="E134" s="20">
        <f>C134*D134</f>
        <v>0</v>
      </c>
      <c r="G134" s="74"/>
    </row>
    <row r="135" spans="1:7" ht="15.4" thickBot="1">
      <c r="A135" s="76" t="s">
        <v>65</v>
      </c>
      <c r="B135" s="93" t="s">
        <v>66</v>
      </c>
      <c r="C135" s="94">
        <v>1</v>
      </c>
      <c r="D135" s="10"/>
      <c r="E135" s="20">
        <f>C135*D135</f>
        <v>0</v>
      </c>
      <c r="G135" s="74"/>
    </row>
    <row r="136" spans="1:7" ht="15.4" thickBot="1">
      <c r="A136" s="80" t="s">
        <v>47</v>
      </c>
      <c r="B136" s="81"/>
      <c r="C136" s="82"/>
      <c r="D136" s="83"/>
      <c r="E136" s="87">
        <f>SUM(E134:E135)</f>
        <v>0</v>
      </c>
    </row>
    <row r="137" spans="1:7" ht="15.4" thickBot="1">
      <c r="A137" s="48" t="s">
        <v>5</v>
      </c>
      <c r="B137" s="23"/>
      <c r="C137" s="23"/>
      <c r="D137" s="98"/>
      <c r="E137" s="73">
        <f>E132+E136</f>
        <v>77094</v>
      </c>
    </row>
    <row r="138" spans="1:7" s="138" customFormat="1" ht="36" customHeight="1" thickBot="1">
      <c r="A138" s="186" t="s">
        <v>22</v>
      </c>
      <c r="B138" s="187"/>
      <c r="C138" s="187"/>
      <c r="D138" s="187"/>
      <c r="E138" s="188"/>
    </row>
    <row r="139" spans="1:7" ht="15">
      <c r="A139" s="17" t="s">
        <v>2</v>
      </c>
      <c r="B139" s="6"/>
      <c r="C139" s="42"/>
      <c r="D139" s="10"/>
      <c r="E139" s="20"/>
      <c r="F139" s="1"/>
    </row>
    <row r="140" spans="1:7" ht="15.4" thickBot="1">
      <c r="A140" s="15" t="s">
        <v>71</v>
      </c>
      <c r="B140" s="6" t="s">
        <v>6</v>
      </c>
      <c r="C140" s="39">
        <f>(C131+C130)*2</f>
        <v>344.4</v>
      </c>
      <c r="D140" s="10">
        <v>80</v>
      </c>
      <c r="E140" s="232">
        <f>C140*D140</f>
        <v>27552</v>
      </c>
      <c r="F140" s="1"/>
    </row>
    <row r="141" spans="1:7" ht="15.4" thickBot="1">
      <c r="A141" s="16" t="s">
        <v>4</v>
      </c>
      <c r="B141" s="7"/>
      <c r="C141" s="11"/>
      <c r="D141" s="228"/>
      <c r="E141" s="240">
        <f>E140</f>
        <v>27552</v>
      </c>
      <c r="F141" s="1"/>
    </row>
    <row r="142" spans="1:7" ht="15">
      <c r="A142" s="76" t="s">
        <v>67</v>
      </c>
      <c r="B142" s="93" t="s">
        <v>6</v>
      </c>
      <c r="C142" s="94">
        <f>(C131+C130)</f>
        <v>172.2</v>
      </c>
      <c r="D142" s="10"/>
      <c r="E142" s="237">
        <f>C142*D142</f>
        <v>0</v>
      </c>
      <c r="G142" s="74"/>
    </row>
    <row r="143" spans="1:7" ht="15">
      <c r="A143" s="76" t="s">
        <v>68</v>
      </c>
      <c r="B143" s="93" t="s">
        <v>6</v>
      </c>
      <c r="C143" s="94">
        <f>C142</f>
        <v>172.2</v>
      </c>
      <c r="D143" s="10"/>
      <c r="E143" s="20">
        <f>C143*D143</f>
        <v>0</v>
      </c>
      <c r="G143" s="74"/>
    </row>
    <row r="144" spans="1:7" ht="15">
      <c r="A144" s="37" t="s">
        <v>70</v>
      </c>
      <c r="B144" s="36" t="s">
        <v>46</v>
      </c>
      <c r="C144" s="39">
        <f>C134*5*2</f>
        <v>1722</v>
      </c>
      <c r="D144" s="10"/>
      <c r="E144" s="20">
        <f>C144*D144</f>
        <v>0</v>
      </c>
      <c r="G144" s="74"/>
    </row>
    <row r="145" spans="1:7" ht="15.4" thickBot="1">
      <c r="A145" s="76" t="s">
        <v>69</v>
      </c>
      <c r="B145" s="93" t="s">
        <v>46</v>
      </c>
      <c r="C145" s="137">
        <f>C143/4</f>
        <v>43.05</v>
      </c>
      <c r="D145" s="10"/>
      <c r="E145" s="20">
        <f>C145*D145</f>
        <v>0</v>
      </c>
      <c r="G145" s="74"/>
    </row>
    <row r="146" spans="1:7" ht="15.4" thickBot="1">
      <c r="A146" s="80" t="s">
        <v>47</v>
      </c>
      <c r="B146" s="81"/>
      <c r="C146" s="82"/>
      <c r="D146" s="83"/>
      <c r="E146" s="87">
        <f>SUM(E142:E145)</f>
        <v>0</v>
      </c>
    </row>
    <row r="147" spans="1:7" ht="15.4" thickBot="1">
      <c r="A147" s="48" t="s">
        <v>5</v>
      </c>
      <c r="B147" s="23"/>
      <c r="C147" s="24"/>
      <c r="D147" s="71"/>
      <c r="E147" s="73">
        <f>E141+E146</f>
        <v>27552</v>
      </c>
      <c r="F147" s="1"/>
    </row>
    <row r="148" spans="1:7" s="138" customFormat="1" ht="36" customHeight="1" thickBot="1">
      <c r="A148" s="186" t="s">
        <v>128</v>
      </c>
      <c r="B148" s="187"/>
      <c r="C148" s="187"/>
      <c r="D148" s="187"/>
      <c r="E148" s="188"/>
    </row>
    <row r="149" spans="1:7" s="143" customFormat="1" ht="13.9">
      <c r="A149" s="139" t="s">
        <v>108</v>
      </c>
      <c r="B149" s="140"/>
      <c r="C149" s="140"/>
      <c r="D149" s="141"/>
      <c r="E149" s="142"/>
    </row>
    <row r="150" spans="1:7" s="143" customFormat="1" ht="30.4" thickBot="1">
      <c r="A150" s="148" t="s">
        <v>130</v>
      </c>
      <c r="B150" s="156" t="s">
        <v>129</v>
      </c>
      <c r="C150" s="157">
        <v>18</v>
      </c>
      <c r="D150" s="158">
        <v>3360</v>
      </c>
      <c r="E150" s="172">
        <f>C150*D150</f>
        <v>60480</v>
      </c>
      <c r="G150" s="138"/>
    </row>
    <row r="151" spans="1:7" s="143" customFormat="1" ht="15.4" thickBot="1">
      <c r="A151" s="149" t="s">
        <v>110</v>
      </c>
      <c r="B151" s="150"/>
      <c r="C151" s="150"/>
      <c r="D151" s="227"/>
      <c r="E151" s="241">
        <f>E150</f>
        <v>60480</v>
      </c>
    </row>
    <row r="152" spans="1:7" ht="15">
      <c r="A152" s="17" t="s">
        <v>45</v>
      </c>
      <c r="B152" s="6"/>
      <c r="C152" s="75"/>
      <c r="D152" s="129"/>
      <c r="E152" s="238"/>
    </row>
    <row r="153" spans="1:7" s="135" customFormat="1" ht="30">
      <c r="A153" s="19" t="s">
        <v>131</v>
      </c>
      <c r="B153" s="9" t="s">
        <v>61</v>
      </c>
      <c r="C153" s="43">
        <f>(1.2*0.6*0.1*1.05*(C150))</f>
        <v>1.3608</v>
      </c>
      <c r="D153" s="152"/>
      <c r="E153" s="160">
        <f t="shared" ref="E153:E160" si="4">C153*D153</f>
        <v>0</v>
      </c>
      <c r="F153"/>
    </row>
    <row r="154" spans="1:7" ht="16.5" customHeight="1">
      <c r="A154" s="15" t="s">
        <v>132</v>
      </c>
      <c r="B154" s="6" t="s">
        <v>3</v>
      </c>
      <c r="C154" s="6">
        <f>C150*1</f>
        <v>18</v>
      </c>
      <c r="D154" s="151"/>
      <c r="E154" s="160">
        <f t="shared" si="4"/>
        <v>0</v>
      </c>
    </row>
    <row r="155" spans="1:7" ht="16.5" customHeight="1">
      <c r="A155" s="15" t="s">
        <v>133</v>
      </c>
      <c r="B155" s="6" t="s">
        <v>3</v>
      </c>
      <c r="C155" s="6">
        <f>0.2*C150*8</f>
        <v>28.8</v>
      </c>
      <c r="D155" s="151"/>
      <c r="E155" s="160">
        <f t="shared" si="4"/>
        <v>0</v>
      </c>
    </row>
    <row r="156" spans="1:7" ht="16.5" customHeight="1">
      <c r="A156" s="15" t="s">
        <v>134</v>
      </c>
      <c r="B156" s="6" t="s">
        <v>46</v>
      </c>
      <c r="C156" s="6">
        <f>20*C150</f>
        <v>360</v>
      </c>
      <c r="D156" s="151"/>
      <c r="E156" s="160">
        <f t="shared" si="4"/>
        <v>0</v>
      </c>
    </row>
    <row r="157" spans="1:7" ht="16.5" customHeight="1">
      <c r="A157" s="15" t="s">
        <v>135</v>
      </c>
      <c r="B157" s="6" t="s">
        <v>139</v>
      </c>
      <c r="C157" s="6">
        <f>(1+1+0.4)*(C150)</f>
        <v>43.199999999999996</v>
      </c>
      <c r="D157" s="151"/>
      <c r="E157" s="160">
        <f t="shared" si="4"/>
        <v>0</v>
      </c>
    </row>
    <row r="158" spans="1:7" ht="16.5" customHeight="1">
      <c r="A158" s="15" t="s">
        <v>136</v>
      </c>
      <c r="B158" s="6" t="s">
        <v>46</v>
      </c>
      <c r="C158" s="9">
        <f>20*C150</f>
        <v>360</v>
      </c>
      <c r="D158" s="151"/>
      <c r="E158" s="160">
        <f t="shared" si="4"/>
        <v>0</v>
      </c>
    </row>
    <row r="159" spans="1:7" ht="16.5" customHeight="1">
      <c r="A159" s="15" t="s">
        <v>137</v>
      </c>
      <c r="B159" s="6" t="s">
        <v>46</v>
      </c>
      <c r="C159" s="9">
        <f>C158</f>
        <v>360</v>
      </c>
      <c r="D159" s="151"/>
      <c r="E159" s="160">
        <f t="shared" si="4"/>
        <v>0</v>
      </c>
    </row>
    <row r="160" spans="1:7" ht="16.5" customHeight="1" thickBot="1">
      <c r="A160" s="15" t="s">
        <v>138</v>
      </c>
      <c r="B160" s="6" t="s">
        <v>46</v>
      </c>
      <c r="C160" s="161">
        <f>C157/4</f>
        <v>10.799999999999999</v>
      </c>
      <c r="D160" s="151"/>
      <c r="E160" s="173">
        <f t="shared" si="4"/>
        <v>0</v>
      </c>
    </row>
    <row r="161" spans="1:6" ht="18.75" customHeight="1" thickBot="1">
      <c r="A161" s="80" t="s">
        <v>47</v>
      </c>
      <c r="B161" s="81"/>
      <c r="C161" s="82"/>
      <c r="D161" s="167"/>
      <c r="E161" s="169">
        <f>SUM(E153:E160)</f>
        <v>0</v>
      </c>
    </row>
    <row r="162" spans="1:6" s="143" customFormat="1" ht="15.4" thickBot="1">
      <c r="A162" s="154" t="s">
        <v>113</v>
      </c>
      <c r="B162" s="155"/>
      <c r="C162" s="155"/>
      <c r="D162" s="170"/>
      <c r="E162" s="176">
        <f>E151+E161</f>
        <v>60480</v>
      </c>
    </row>
    <row r="163" spans="1:6" s="138" customFormat="1" ht="36" customHeight="1" thickBot="1">
      <c r="A163" s="186" t="s">
        <v>165</v>
      </c>
      <c r="B163" s="187"/>
      <c r="C163" s="187"/>
      <c r="D163" s="187"/>
      <c r="E163" s="188"/>
    </row>
    <row r="164" spans="1:6" ht="15">
      <c r="A164" s="139" t="s">
        <v>108</v>
      </c>
      <c r="B164" s="140"/>
      <c r="C164" s="140"/>
      <c r="D164" s="141"/>
      <c r="E164" s="142"/>
      <c r="F164" s="1"/>
    </row>
    <row r="165" spans="1:6" ht="15">
      <c r="A165" s="148" t="s">
        <v>166</v>
      </c>
      <c r="B165" s="6" t="s">
        <v>129</v>
      </c>
      <c r="C165" s="162">
        <v>8</v>
      </c>
      <c r="D165" s="158">
        <v>4000</v>
      </c>
      <c r="E165" s="159">
        <f>C165*D165</f>
        <v>32000</v>
      </c>
      <c r="F165" s="1"/>
    </row>
    <row r="166" spans="1:6" ht="15">
      <c r="A166" s="144" t="s">
        <v>140</v>
      </c>
      <c r="B166" s="6" t="s">
        <v>129</v>
      </c>
      <c r="C166" s="162">
        <f>C165</f>
        <v>8</v>
      </c>
      <c r="D166" s="158">
        <v>3600</v>
      </c>
      <c r="E166" s="159">
        <f>C166*D166</f>
        <v>28800</v>
      </c>
      <c r="F166" s="1"/>
    </row>
    <row r="167" spans="1:6" ht="30.4" thickBot="1">
      <c r="A167" s="148" t="s">
        <v>142</v>
      </c>
      <c r="B167" s="145" t="s">
        <v>109</v>
      </c>
      <c r="C167" s="153">
        <v>1</v>
      </c>
      <c r="D167" s="146" t="str">
        <f>D70</f>
        <v>170,00 ₽</v>
      </c>
      <c r="E167" s="233">
        <f>D167*C167</f>
        <v>170</v>
      </c>
      <c r="F167" s="1"/>
    </row>
    <row r="168" spans="1:6" ht="15.4" thickBot="1">
      <c r="A168" s="149" t="s">
        <v>110</v>
      </c>
      <c r="B168" s="150"/>
      <c r="C168" s="150"/>
      <c r="D168" s="227"/>
      <c r="E168" s="241">
        <f>SUM(E165:E167)</f>
        <v>60970</v>
      </c>
      <c r="F168" s="1"/>
    </row>
    <row r="169" spans="1:6" ht="15">
      <c r="A169" s="17" t="s">
        <v>45</v>
      </c>
      <c r="B169" s="6"/>
      <c r="C169" s="75"/>
      <c r="D169" s="129"/>
      <c r="E169" s="238"/>
      <c r="F169" s="1"/>
    </row>
    <row r="170" spans="1:6" ht="15">
      <c r="A170" s="15" t="s">
        <v>132</v>
      </c>
      <c r="B170" s="6" t="s">
        <v>3</v>
      </c>
      <c r="C170" s="6">
        <f>4.4*C166</f>
        <v>35.200000000000003</v>
      </c>
      <c r="D170" s="151"/>
      <c r="E170" s="130">
        <f>C170*D170</f>
        <v>0</v>
      </c>
      <c r="F170" s="1"/>
    </row>
    <row r="171" spans="1:6" ht="15">
      <c r="A171" s="15" t="s">
        <v>133</v>
      </c>
      <c r="B171" s="6" t="s">
        <v>3</v>
      </c>
      <c r="C171" s="6">
        <f>0.2*C170*4</f>
        <v>28.160000000000004</v>
      </c>
      <c r="D171" s="151"/>
      <c r="E171" s="130">
        <f>C171*D171</f>
        <v>0</v>
      </c>
      <c r="F171" s="1"/>
    </row>
    <row r="172" spans="1:6" ht="15">
      <c r="A172" s="15" t="s">
        <v>134</v>
      </c>
      <c r="B172" s="6" t="s">
        <v>46</v>
      </c>
      <c r="C172" s="6">
        <f>4*4*C166</f>
        <v>128</v>
      </c>
      <c r="D172" s="151"/>
      <c r="E172" s="130">
        <f>C172*D172</f>
        <v>0</v>
      </c>
      <c r="F172" s="1"/>
    </row>
    <row r="173" spans="1:6" ht="15">
      <c r="A173" s="76" t="s">
        <v>67</v>
      </c>
      <c r="B173" s="93" t="s">
        <v>6</v>
      </c>
      <c r="C173" s="94">
        <f>4*C166</f>
        <v>32</v>
      </c>
      <c r="D173" s="151"/>
      <c r="E173" s="130">
        <f>C173*D173</f>
        <v>0</v>
      </c>
      <c r="F173" s="1"/>
    </row>
    <row r="174" spans="1:6" ht="14.25" customHeight="1">
      <c r="A174" s="15" t="s">
        <v>135</v>
      </c>
      <c r="B174" s="6" t="s">
        <v>139</v>
      </c>
      <c r="C174" s="6">
        <f>4*C166</f>
        <v>32</v>
      </c>
      <c r="D174" s="151"/>
      <c r="E174" s="130">
        <f>C174*D174</f>
        <v>0</v>
      </c>
      <c r="F174" s="1"/>
    </row>
    <row r="175" spans="1:6" ht="15">
      <c r="A175" s="15" t="s">
        <v>138</v>
      </c>
      <c r="B175" s="6" t="s">
        <v>46</v>
      </c>
      <c r="C175" s="6">
        <f>C174/4</f>
        <v>8</v>
      </c>
      <c r="D175" s="151"/>
      <c r="E175" s="130">
        <f>C175*D175</f>
        <v>0</v>
      </c>
      <c r="F175" s="1"/>
    </row>
    <row r="176" spans="1:6" ht="15">
      <c r="A176" s="15" t="s">
        <v>115</v>
      </c>
      <c r="B176" s="6" t="s">
        <v>3</v>
      </c>
      <c r="C176" s="6">
        <v>0.29160000000000003</v>
      </c>
      <c r="D176" s="151"/>
      <c r="E176" s="130">
        <f t="shared" ref="E176:E178" si="5">C176*D176</f>
        <v>0</v>
      </c>
      <c r="F176" s="1"/>
    </row>
    <row r="177" spans="1:6" ht="15">
      <c r="A177" s="15" t="s">
        <v>94</v>
      </c>
      <c r="B177" s="6" t="s">
        <v>46</v>
      </c>
      <c r="C177" s="6">
        <v>42</v>
      </c>
      <c r="D177" s="151"/>
      <c r="E177" s="130">
        <f t="shared" si="5"/>
        <v>0</v>
      </c>
      <c r="F177" s="1"/>
    </row>
    <row r="178" spans="1:6" ht="15.4" thickBot="1">
      <c r="A178" s="15" t="s">
        <v>143</v>
      </c>
      <c r="B178" s="6" t="s">
        <v>46</v>
      </c>
      <c r="C178" s="6">
        <v>42</v>
      </c>
      <c r="D178" s="151"/>
      <c r="E178" s="130">
        <f t="shared" si="5"/>
        <v>0</v>
      </c>
      <c r="F178" s="1"/>
    </row>
    <row r="179" spans="1:6" ht="15.4" thickBot="1">
      <c r="A179" s="80" t="s">
        <v>47</v>
      </c>
      <c r="B179" s="81"/>
      <c r="C179" s="82"/>
      <c r="D179" s="167"/>
      <c r="E179" s="169">
        <f>SUM(E170:E178)</f>
        <v>0</v>
      </c>
      <c r="F179" s="1"/>
    </row>
    <row r="180" spans="1:6" ht="15.4" thickBot="1">
      <c r="A180" s="164" t="s">
        <v>113</v>
      </c>
      <c r="B180" s="165"/>
      <c r="C180" s="165"/>
      <c r="D180" s="175"/>
      <c r="E180" s="176">
        <f>E168+E179</f>
        <v>60970</v>
      </c>
      <c r="F180" s="1"/>
    </row>
    <row r="181" spans="1:6" s="138" customFormat="1" ht="36" customHeight="1" thickBot="1">
      <c r="A181" s="186" t="s">
        <v>144</v>
      </c>
      <c r="B181" s="187"/>
      <c r="C181" s="187"/>
      <c r="D181" s="187"/>
      <c r="E181" s="188"/>
    </row>
    <row r="182" spans="1:6" s="143" customFormat="1" ht="13.9">
      <c r="A182" s="139" t="s">
        <v>108</v>
      </c>
      <c r="B182" s="140"/>
      <c r="C182" s="140"/>
      <c r="D182" s="141"/>
      <c r="E182" s="142"/>
    </row>
    <row r="183" spans="1:6" ht="45.4" thickBot="1">
      <c r="A183" s="148" t="s">
        <v>145</v>
      </c>
      <c r="B183" s="6" t="s">
        <v>109</v>
      </c>
      <c r="C183" s="162">
        <v>212</v>
      </c>
      <c r="D183" s="158">
        <v>400</v>
      </c>
      <c r="E183" s="172">
        <f>C183*D183</f>
        <v>84800</v>
      </c>
      <c r="F183" s="1"/>
    </row>
    <row r="184" spans="1:6" s="143" customFormat="1" ht="15.4" thickBot="1">
      <c r="A184" s="149" t="s">
        <v>110</v>
      </c>
      <c r="B184" s="150"/>
      <c r="C184" s="150"/>
      <c r="D184" s="227"/>
      <c r="E184" s="241">
        <f>SUM(E183)</f>
        <v>84800</v>
      </c>
    </row>
    <row r="185" spans="1:6" ht="15">
      <c r="A185" s="17" t="s">
        <v>45</v>
      </c>
      <c r="B185" s="6"/>
      <c r="C185" s="75"/>
      <c r="D185" s="129"/>
      <c r="E185" s="238"/>
    </row>
    <row r="186" spans="1:6" ht="15">
      <c r="A186" s="19" t="s">
        <v>146</v>
      </c>
      <c r="B186" s="9" t="s">
        <v>3</v>
      </c>
      <c r="C186" s="43">
        <f>C183</f>
        <v>212</v>
      </c>
      <c r="D186" s="152"/>
      <c r="E186" s="130">
        <f>C186*D186</f>
        <v>0</v>
      </c>
    </row>
    <row r="187" spans="1:6" ht="16.5" customHeight="1" thickBot="1">
      <c r="A187" s="15" t="s">
        <v>147</v>
      </c>
      <c r="B187" s="6" t="s">
        <v>46</v>
      </c>
      <c r="C187" s="6">
        <v>4</v>
      </c>
      <c r="D187" s="151"/>
      <c r="E187" s="174">
        <f>C187*D187</f>
        <v>0</v>
      </c>
    </row>
    <row r="188" spans="1:6" ht="18.75" customHeight="1" thickBot="1">
      <c r="A188" s="80" t="s">
        <v>47</v>
      </c>
      <c r="B188" s="81"/>
      <c r="C188" s="82"/>
      <c r="D188" s="167"/>
      <c r="E188" s="169">
        <f>SUM(E186:E187)</f>
        <v>0</v>
      </c>
    </row>
    <row r="189" spans="1:6" s="143" customFormat="1" ht="15.4" thickBot="1">
      <c r="A189" s="154" t="s">
        <v>113</v>
      </c>
      <c r="B189" s="155"/>
      <c r="C189" s="155"/>
      <c r="D189" s="170"/>
      <c r="E189" s="176">
        <f>E184+E188</f>
        <v>84800</v>
      </c>
    </row>
    <row r="190" spans="1:6" s="138" customFormat="1" ht="36" customHeight="1" thickBot="1">
      <c r="A190" s="186" t="s">
        <v>148</v>
      </c>
      <c r="B190" s="187"/>
      <c r="C190" s="187"/>
      <c r="D190" s="187"/>
      <c r="E190" s="188"/>
    </row>
    <row r="191" spans="1:6" ht="15">
      <c r="A191" s="139" t="s">
        <v>108</v>
      </c>
      <c r="B191" s="140"/>
      <c r="C191" s="140"/>
      <c r="D191" s="141"/>
      <c r="E191" s="142"/>
      <c r="F191" s="1"/>
    </row>
    <row r="192" spans="1:6" ht="15.4" thickBot="1">
      <c r="A192" s="148" t="s">
        <v>148</v>
      </c>
      <c r="B192" s="156" t="s">
        <v>129</v>
      </c>
      <c r="C192" s="162">
        <v>5</v>
      </c>
      <c r="D192" s="158">
        <v>3600</v>
      </c>
      <c r="E192" s="172">
        <f>C192*D192</f>
        <v>18000</v>
      </c>
      <c r="F192" s="1"/>
    </row>
    <row r="193" spans="1:6" ht="15.4" thickBot="1">
      <c r="A193" s="149" t="s">
        <v>110</v>
      </c>
      <c r="B193" s="150"/>
      <c r="C193" s="150"/>
      <c r="D193" s="227"/>
      <c r="E193" s="241">
        <f>SUM(E192)</f>
        <v>18000</v>
      </c>
      <c r="F193" s="1"/>
    </row>
    <row r="194" spans="1:6" ht="15">
      <c r="A194" s="17" t="s">
        <v>45</v>
      </c>
      <c r="B194" s="6"/>
      <c r="C194" s="75"/>
      <c r="D194" s="129"/>
      <c r="E194" s="238"/>
      <c r="F194" s="1"/>
    </row>
    <row r="195" spans="1:6" ht="15">
      <c r="A195" s="15" t="s">
        <v>132</v>
      </c>
      <c r="B195" s="6" t="s">
        <v>3</v>
      </c>
      <c r="C195" s="6">
        <f>7.2</f>
        <v>7.2</v>
      </c>
      <c r="D195" s="151"/>
      <c r="E195" s="160">
        <f t="shared" ref="E195:E200" si="6">C195*D195</f>
        <v>0</v>
      </c>
      <c r="F195" s="1"/>
    </row>
    <row r="196" spans="1:6" ht="15">
      <c r="A196" s="15" t="s">
        <v>133</v>
      </c>
      <c r="B196" s="6" t="s">
        <v>3</v>
      </c>
      <c r="C196" s="6">
        <f>0.2*C192*4</f>
        <v>4</v>
      </c>
      <c r="D196" s="151"/>
      <c r="E196" s="160">
        <f t="shared" si="6"/>
        <v>0</v>
      </c>
      <c r="F196" s="1"/>
    </row>
    <row r="197" spans="1:6" ht="18.75" customHeight="1">
      <c r="A197" s="15" t="s">
        <v>135</v>
      </c>
      <c r="B197" s="6" t="s">
        <v>139</v>
      </c>
      <c r="C197" s="6">
        <f>7.2</f>
        <v>7.2</v>
      </c>
      <c r="D197" s="151"/>
      <c r="E197" s="160">
        <f t="shared" si="6"/>
        <v>0</v>
      </c>
    </row>
    <row r="198" spans="1:6" ht="18.75" customHeight="1">
      <c r="A198" s="76" t="s">
        <v>67</v>
      </c>
      <c r="B198" s="93" t="s">
        <v>6</v>
      </c>
      <c r="C198" s="6">
        <f>C197</f>
        <v>7.2</v>
      </c>
      <c r="D198" s="151"/>
      <c r="E198" s="160">
        <f t="shared" si="6"/>
        <v>0</v>
      </c>
    </row>
    <row r="199" spans="1:6" ht="15">
      <c r="A199" s="15" t="s">
        <v>137</v>
      </c>
      <c r="B199" s="6" t="s">
        <v>46</v>
      </c>
      <c r="C199" s="6">
        <f>C197*5*2</f>
        <v>72</v>
      </c>
      <c r="D199" s="151"/>
      <c r="E199" s="160">
        <f t="shared" si="6"/>
        <v>0</v>
      </c>
    </row>
    <row r="200" spans="1:6" ht="15.4" thickBot="1">
      <c r="A200" s="15" t="s">
        <v>138</v>
      </c>
      <c r="B200" s="6" t="s">
        <v>46</v>
      </c>
      <c r="C200" s="161">
        <f>7.2/4</f>
        <v>1.8</v>
      </c>
      <c r="D200" s="151"/>
      <c r="E200" s="173">
        <f t="shared" si="6"/>
        <v>0</v>
      </c>
    </row>
    <row r="201" spans="1:6" ht="15.4" thickBot="1">
      <c r="A201" s="80" t="s">
        <v>47</v>
      </c>
      <c r="B201" s="81"/>
      <c r="C201" s="82"/>
      <c r="D201" s="167"/>
      <c r="E201" s="169">
        <f>SUM(E195:E200)</f>
        <v>0</v>
      </c>
    </row>
    <row r="202" spans="1:6" ht="15.4" thickBot="1">
      <c r="A202" s="154" t="s">
        <v>113</v>
      </c>
      <c r="B202" s="155"/>
      <c r="C202" s="155"/>
      <c r="D202" s="170"/>
      <c r="E202" s="176">
        <f>E193+E201</f>
        <v>18000</v>
      </c>
    </row>
    <row r="203" spans="1:6" s="138" customFormat="1" ht="36" customHeight="1" thickBot="1">
      <c r="A203" s="186" t="s">
        <v>149</v>
      </c>
      <c r="B203" s="187"/>
      <c r="C203" s="187"/>
      <c r="D203" s="187"/>
      <c r="E203" s="188"/>
    </row>
    <row r="204" spans="1:6" s="143" customFormat="1" ht="13.9">
      <c r="A204" s="139" t="s">
        <v>108</v>
      </c>
      <c r="B204" s="140"/>
      <c r="C204" s="140"/>
      <c r="D204" s="141"/>
      <c r="E204" s="142"/>
    </row>
    <row r="205" spans="1:6" s="143" customFormat="1" ht="15">
      <c r="A205" s="15" t="s">
        <v>150</v>
      </c>
      <c r="B205" s="6" t="s">
        <v>46</v>
      </c>
      <c r="C205" s="39">
        <v>3</v>
      </c>
      <c r="D205" s="151">
        <v>2000</v>
      </c>
      <c r="E205" s="163">
        <f>C205*D205</f>
        <v>6000</v>
      </c>
    </row>
    <row r="206" spans="1:6" s="143" customFormat="1" ht="15">
      <c r="A206" s="15" t="s">
        <v>151</v>
      </c>
      <c r="B206" s="6" t="s">
        <v>46</v>
      </c>
      <c r="C206" s="39">
        <v>24</v>
      </c>
      <c r="D206" s="151">
        <v>2000</v>
      </c>
      <c r="E206" s="163">
        <f>C206*D206</f>
        <v>48000</v>
      </c>
    </row>
    <row r="207" spans="1:6" s="143" customFormat="1" ht="15.4" thickBot="1">
      <c r="A207" s="15" t="s">
        <v>154</v>
      </c>
      <c r="B207" s="6" t="s">
        <v>155</v>
      </c>
      <c r="C207" s="39">
        <v>0</v>
      </c>
      <c r="D207" s="151">
        <v>120</v>
      </c>
      <c r="E207" s="168">
        <f>C207*D207</f>
        <v>0</v>
      </c>
    </row>
    <row r="208" spans="1:6" s="143" customFormat="1" ht="15.4" thickBot="1">
      <c r="A208" s="149" t="s">
        <v>110</v>
      </c>
      <c r="B208" s="150"/>
      <c r="C208" s="150"/>
      <c r="D208" s="227"/>
      <c r="E208" s="241">
        <f>E205+E206+E207</f>
        <v>54000</v>
      </c>
    </row>
    <row r="209" spans="1:5" ht="15">
      <c r="A209" s="17" t="s">
        <v>45</v>
      </c>
      <c r="B209" s="6"/>
      <c r="C209" s="75"/>
      <c r="D209" s="129"/>
      <c r="E209" s="238"/>
    </row>
    <row r="210" spans="1:5" s="143" customFormat="1" ht="15">
      <c r="A210" s="144" t="s">
        <v>152</v>
      </c>
      <c r="B210" s="156" t="s">
        <v>46</v>
      </c>
      <c r="C210" s="162">
        <f>C205</f>
        <v>3</v>
      </c>
      <c r="D210" s="158"/>
      <c r="E210" s="159">
        <f>D210*C210</f>
        <v>0</v>
      </c>
    </row>
    <row r="211" spans="1:5" s="143" customFormat="1" ht="15">
      <c r="A211" s="144" t="s">
        <v>152</v>
      </c>
      <c r="B211" s="156" t="s">
        <v>46</v>
      </c>
      <c r="C211" s="162">
        <f>C206</f>
        <v>24</v>
      </c>
      <c r="D211" s="158"/>
      <c r="E211" s="159">
        <f>D211*C211</f>
        <v>0</v>
      </c>
    </row>
    <row r="212" spans="1:5" s="143" customFormat="1" ht="15">
      <c r="A212" s="144" t="s">
        <v>138</v>
      </c>
      <c r="B212" s="156" t="s">
        <v>46</v>
      </c>
      <c r="C212" s="162">
        <v>1</v>
      </c>
      <c r="D212" s="158"/>
      <c r="E212" s="159">
        <f>D212*C212</f>
        <v>0</v>
      </c>
    </row>
    <row r="213" spans="1:5" s="143" customFormat="1" ht="15">
      <c r="A213" s="144" t="s">
        <v>156</v>
      </c>
      <c r="B213" s="6" t="s">
        <v>155</v>
      </c>
      <c r="C213" s="162">
        <f>C207*1.1</f>
        <v>0</v>
      </c>
      <c r="D213" s="158">
        <v>800</v>
      </c>
      <c r="E213" s="159">
        <f>D213*C213</f>
        <v>0</v>
      </c>
    </row>
    <row r="214" spans="1:5" s="143" customFormat="1" ht="15.4" thickBot="1">
      <c r="A214" s="144" t="s">
        <v>153</v>
      </c>
      <c r="B214" s="156" t="s">
        <v>46</v>
      </c>
      <c r="C214" s="162">
        <v>2</v>
      </c>
      <c r="D214" s="158"/>
      <c r="E214" s="172">
        <f>D214*C214</f>
        <v>0</v>
      </c>
    </row>
    <row r="215" spans="1:5" ht="18.75" customHeight="1" thickBot="1">
      <c r="A215" s="80" t="s">
        <v>47</v>
      </c>
      <c r="B215" s="81"/>
      <c r="C215" s="82"/>
      <c r="D215" s="167"/>
      <c r="E215" s="169">
        <f>SUM(E210:E214)</f>
        <v>0</v>
      </c>
    </row>
    <row r="216" spans="1:5" s="143" customFormat="1" ht="15.4" thickBot="1">
      <c r="A216" s="154" t="s">
        <v>113</v>
      </c>
      <c r="B216" s="155"/>
      <c r="C216" s="155"/>
      <c r="D216" s="170"/>
      <c r="E216" s="176">
        <f>E208+E215</f>
        <v>54000</v>
      </c>
    </row>
    <row r="217" spans="1:5" s="138" customFormat="1" ht="36" customHeight="1" thickBot="1">
      <c r="A217" s="186" t="s">
        <v>157</v>
      </c>
      <c r="B217" s="187"/>
      <c r="C217" s="187"/>
      <c r="D217" s="187"/>
      <c r="E217" s="188"/>
    </row>
    <row r="218" spans="1:5" s="143" customFormat="1" ht="13.9">
      <c r="A218" s="139" t="s">
        <v>108</v>
      </c>
      <c r="B218" s="140"/>
      <c r="C218" s="140"/>
      <c r="D218" s="141"/>
      <c r="E218" s="142"/>
    </row>
    <row r="219" spans="1:5" s="143" customFormat="1" ht="15">
      <c r="A219" s="15" t="s">
        <v>159</v>
      </c>
      <c r="B219" s="6" t="s">
        <v>59</v>
      </c>
      <c r="C219" s="39">
        <v>266</v>
      </c>
      <c r="D219" s="151">
        <v>600</v>
      </c>
      <c r="E219" s="163">
        <f>C219*D219</f>
        <v>159600</v>
      </c>
    </row>
    <row r="220" spans="1:5" s="143" customFormat="1" ht="15.4" thickBot="1">
      <c r="A220" s="15" t="s">
        <v>160</v>
      </c>
      <c r="B220" s="6" t="s">
        <v>46</v>
      </c>
      <c r="C220" s="39">
        <f>C219+5</f>
        <v>271</v>
      </c>
      <c r="D220" s="151">
        <v>2600</v>
      </c>
      <c r="E220" s="168">
        <f>C220*D220</f>
        <v>704600</v>
      </c>
    </row>
    <row r="221" spans="1:5" s="143" customFormat="1" ht="15.4" thickBot="1">
      <c r="A221" s="149" t="s">
        <v>110</v>
      </c>
      <c r="B221" s="150"/>
      <c r="C221" s="150"/>
      <c r="D221" s="227"/>
      <c r="E221" s="241">
        <f>E219+E220</f>
        <v>864200</v>
      </c>
    </row>
    <row r="222" spans="1:5" ht="15">
      <c r="A222" s="17" t="s">
        <v>45</v>
      </c>
      <c r="B222" s="6"/>
      <c r="C222" s="75"/>
      <c r="D222" s="129"/>
      <c r="E222" s="238"/>
    </row>
    <row r="223" spans="1:5" ht="15">
      <c r="A223" s="144" t="s">
        <v>158</v>
      </c>
      <c r="B223" s="156" t="s">
        <v>46</v>
      </c>
      <c r="C223" s="166">
        <f>C219/3</f>
        <v>88.666666666666671</v>
      </c>
      <c r="D223" s="151">
        <v>7500</v>
      </c>
      <c r="E223" s="163">
        <f t="shared" ref="E223:E229" si="7">C223*D223</f>
        <v>665000</v>
      </c>
    </row>
    <row r="224" spans="1:5" ht="15">
      <c r="A224" s="144" t="s">
        <v>132</v>
      </c>
      <c r="B224" s="156" t="s">
        <v>3</v>
      </c>
      <c r="C224" s="166">
        <f>0.5*C223</f>
        <v>44.333333333333336</v>
      </c>
      <c r="D224" s="151"/>
      <c r="E224" s="163">
        <f t="shared" si="7"/>
        <v>0</v>
      </c>
    </row>
    <row r="225" spans="1:7" ht="15">
      <c r="A225" s="144" t="s">
        <v>133</v>
      </c>
      <c r="B225" s="156" t="s">
        <v>3</v>
      </c>
      <c r="C225" s="166">
        <f>0.3*C223</f>
        <v>26.6</v>
      </c>
      <c r="D225" s="151"/>
      <c r="E225" s="163">
        <f t="shared" si="7"/>
        <v>0</v>
      </c>
    </row>
    <row r="226" spans="1:7" ht="15">
      <c r="A226" s="144" t="s">
        <v>147</v>
      </c>
      <c r="B226" s="156" t="s">
        <v>46</v>
      </c>
      <c r="C226" s="166">
        <f>(C223*0.16)*0.25/3</f>
        <v>1.1822222222222223</v>
      </c>
      <c r="D226" s="151"/>
      <c r="E226" s="163">
        <f t="shared" si="7"/>
        <v>0</v>
      </c>
    </row>
    <row r="227" spans="1:7" ht="18.75" customHeight="1">
      <c r="A227" s="144" t="s">
        <v>135</v>
      </c>
      <c r="B227" s="156" t="s">
        <v>6</v>
      </c>
      <c r="C227" s="166">
        <f t="shared" ref="C227" si="8">C224/3</f>
        <v>14.777777777777779</v>
      </c>
      <c r="D227" s="151"/>
      <c r="E227" s="163">
        <f t="shared" si="7"/>
        <v>0</v>
      </c>
    </row>
    <row r="228" spans="1:7" ht="15">
      <c r="A228" s="144" t="s">
        <v>138</v>
      </c>
      <c r="B228" s="156" t="s">
        <v>46</v>
      </c>
      <c r="C228" s="166">
        <f>0.25*C219/4</f>
        <v>16.625</v>
      </c>
      <c r="D228" s="151"/>
      <c r="E228" s="163">
        <f t="shared" si="7"/>
        <v>0</v>
      </c>
    </row>
    <row r="229" spans="1:7" ht="15.4" thickBot="1">
      <c r="A229" s="144" t="s">
        <v>161</v>
      </c>
      <c r="B229" s="156" t="s">
        <v>46</v>
      </c>
      <c r="C229" s="166">
        <f>C223</f>
        <v>88.666666666666671</v>
      </c>
      <c r="D229" s="158"/>
      <c r="E229" s="168">
        <f t="shared" si="7"/>
        <v>0</v>
      </c>
    </row>
    <row r="230" spans="1:7" ht="15.4" thickBot="1">
      <c r="A230" s="80" t="s">
        <v>47</v>
      </c>
      <c r="B230" s="81"/>
      <c r="C230" s="82"/>
      <c r="D230" s="167"/>
      <c r="E230" s="169">
        <f>SUM(E223:E229)</f>
        <v>665000</v>
      </c>
    </row>
    <row r="231" spans="1:7" ht="15.4" thickBot="1">
      <c r="A231" s="154" t="s">
        <v>113</v>
      </c>
      <c r="B231" s="155"/>
      <c r="C231" s="155"/>
      <c r="D231" s="170"/>
      <c r="E231" s="171">
        <f>E221+E230</f>
        <v>1529200</v>
      </c>
      <c r="G231" s="74"/>
    </row>
    <row r="232" spans="1:7" s="138" customFormat="1" ht="36" customHeight="1" thickBot="1">
      <c r="A232" s="186" t="s">
        <v>167</v>
      </c>
      <c r="B232" s="187"/>
      <c r="C232" s="187"/>
      <c r="D232" s="187"/>
      <c r="E232" s="188"/>
    </row>
    <row r="233" spans="1:7" s="143" customFormat="1" ht="13.9">
      <c r="A233" s="139" t="s">
        <v>2</v>
      </c>
      <c r="B233" s="140"/>
      <c r="C233" s="140"/>
      <c r="D233" s="141"/>
      <c r="E233" s="142"/>
    </row>
    <row r="234" spans="1:7" s="143" customFormat="1" ht="15.4" thickBot="1">
      <c r="A234" s="15" t="s">
        <v>167</v>
      </c>
      <c r="B234" s="6" t="s">
        <v>46</v>
      </c>
      <c r="C234" s="39">
        <v>265.45</v>
      </c>
      <c r="D234" s="151">
        <v>450</v>
      </c>
      <c r="E234" s="168">
        <f>C234*D234</f>
        <v>119452.5</v>
      </c>
    </row>
    <row r="235" spans="1:7" s="143" customFormat="1" ht="15.4" thickBot="1">
      <c r="A235" s="149" t="s">
        <v>4</v>
      </c>
      <c r="B235" s="150"/>
      <c r="C235" s="150"/>
      <c r="D235" s="227"/>
      <c r="E235" s="241">
        <f>E234</f>
        <v>119452.5</v>
      </c>
    </row>
    <row r="236" spans="1:7" ht="15">
      <c r="A236" s="17" t="s">
        <v>45</v>
      </c>
      <c r="B236" s="6"/>
      <c r="C236" s="75"/>
      <c r="D236" s="129"/>
      <c r="E236" s="238"/>
    </row>
    <row r="237" spans="1:7" ht="15.4" thickBot="1">
      <c r="A237" s="144" t="s">
        <v>168</v>
      </c>
      <c r="B237" s="156" t="s">
        <v>46</v>
      </c>
      <c r="C237" s="166">
        <f>C234*0.6</f>
        <v>159.26999999999998</v>
      </c>
      <c r="D237" s="151"/>
      <c r="E237" s="163">
        <f>C237*D237</f>
        <v>0</v>
      </c>
    </row>
    <row r="238" spans="1:7" ht="15.4" thickBot="1">
      <c r="A238" s="80" t="s">
        <v>47</v>
      </c>
      <c r="B238" s="81"/>
      <c r="C238" s="82"/>
      <c r="D238" s="167"/>
      <c r="E238" s="169">
        <f>SUM(E234)</f>
        <v>119452.5</v>
      </c>
    </row>
    <row r="239" spans="1:7" ht="15.4" thickBot="1">
      <c r="A239" s="154" t="s">
        <v>5</v>
      </c>
      <c r="B239" s="155"/>
      <c r="C239" s="155"/>
      <c r="D239" s="170"/>
      <c r="E239" s="171">
        <f>E235+E238</f>
        <v>238905</v>
      </c>
      <c r="G239" s="74"/>
    </row>
    <row r="240" spans="1:7" s="138" customFormat="1" ht="36" customHeight="1" thickBot="1">
      <c r="A240" s="186" t="s">
        <v>41</v>
      </c>
      <c r="B240" s="187"/>
      <c r="C240" s="187"/>
      <c r="D240" s="187"/>
      <c r="E240" s="188"/>
    </row>
    <row r="241" spans="1:7" ht="15">
      <c r="A241" s="25" t="s">
        <v>2</v>
      </c>
      <c r="B241" s="26"/>
      <c r="C241" s="26"/>
      <c r="D241" s="26"/>
      <c r="E241" s="33"/>
    </row>
    <row r="242" spans="1:7" ht="15.95" customHeight="1" thickBot="1">
      <c r="A242" s="15" t="s">
        <v>42</v>
      </c>
      <c r="B242" s="6" t="s">
        <v>6</v>
      </c>
      <c r="C242" s="39">
        <v>0</v>
      </c>
      <c r="D242" s="10">
        <v>600</v>
      </c>
      <c r="E242" s="232">
        <f>C242*D242</f>
        <v>0</v>
      </c>
    </row>
    <row r="243" spans="1:7" ht="15.4" thickBot="1">
      <c r="A243" s="16" t="s">
        <v>4</v>
      </c>
      <c r="B243" s="13"/>
      <c r="C243" s="14"/>
      <c r="D243" s="226"/>
      <c r="E243" s="240">
        <f>E242</f>
        <v>0</v>
      </c>
    </row>
    <row r="244" spans="1:7" ht="15">
      <c r="A244" s="17" t="s">
        <v>45</v>
      </c>
      <c r="B244" s="6"/>
      <c r="C244" s="39"/>
      <c r="D244" s="10"/>
      <c r="E244" s="237"/>
    </row>
    <row r="245" spans="1:7" ht="15">
      <c r="A245" s="15" t="s">
        <v>56</v>
      </c>
      <c r="B245" s="6" t="s">
        <v>6</v>
      </c>
      <c r="C245" s="39">
        <f>C242*1.1</f>
        <v>0</v>
      </c>
      <c r="D245" s="10"/>
      <c r="E245" s="20">
        <f t="shared" ref="E245:E250" si="9">C245*D245</f>
        <v>0</v>
      </c>
      <c r="G245" s="74"/>
    </row>
    <row r="246" spans="1:7" ht="15">
      <c r="A246" s="15" t="s">
        <v>72</v>
      </c>
      <c r="B246" s="6" t="s">
        <v>46</v>
      </c>
      <c r="C246" s="39">
        <v>0</v>
      </c>
      <c r="D246" s="10"/>
      <c r="E246" s="20">
        <f t="shared" si="9"/>
        <v>0</v>
      </c>
      <c r="G246" s="74"/>
    </row>
    <row r="247" spans="1:7" ht="15">
      <c r="A247" s="15" t="s">
        <v>73</v>
      </c>
      <c r="B247" s="6" t="s">
        <v>46</v>
      </c>
      <c r="C247" s="39">
        <v>0</v>
      </c>
      <c r="D247" s="10"/>
      <c r="E247" s="20">
        <f t="shared" si="9"/>
        <v>0</v>
      </c>
      <c r="G247" s="74"/>
    </row>
    <row r="248" spans="1:7" ht="15">
      <c r="A248" s="15" t="s">
        <v>74</v>
      </c>
      <c r="B248" s="6" t="s">
        <v>46</v>
      </c>
      <c r="C248" s="39">
        <v>0</v>
      </c>
      <c r="D248" s="10"/>
      <c r="E248" s="20">
        <f t="shared" si="9"/>
        <v>0</v>
      </c>
      <c r="G248" s="74"/>
    </row>
    <row r="249" spans="1:7" ht="15">
      <c r="A249" s="15" t="s">
        <v>75</v>
      </c>
      <c r="B249" s="6" t="s">
        <v>46</v>
      </c>
      <c r="C249" s="39">
        <v>0</v>
      </c>
      <c r="D249" s="10"/>
      <c r="E249" s="20">
        <f t="shared" si="9"/>
        <v>0</v>
      </c>
      <c r="G249" s="74"/>
    </row>
    <row r="250" spans="1:7" ht="15.4" thickBot="1">
      <c r="A250" s="15" t="s">
        <v>58</v>
      </c>
      <c r="B250" s="6" t="s">
        <v>46</v>
      </c>
      <c r="C250" s="39">
        <v>0</v>
      </c>
      <c r="D250" s="10"/>
      <c r="E250" s="20">
        <f t="shared" si="9"/>
        <v>0</v>
      </c>
      <c r="G250" s="74"/>
    </row>
    <row r="251" spans="1:7" ht="15.4" thickBot="1">
      <c r="A251" s="80" t="s">
        <v>47</v>
      </c>
      <c r="B251" s="81"/>
      <c r="C251" s="82"/>
      <c r="D251" s="83"/>
      <c r="E251" s="87">
        <f>SUM(E245:E250)</f>
        <v>0</v>
      </c>
    </row>
    <row r="252" spans="1:7" ht="20.100000000000001" customHeight="1" thickBot="1">
      <c r="A252" s="22" t="s">
        <v>5</v>
      </c>
      <c r="B252" s="23"/>
      <c r="C252" s="24"/>
      <c r="D252" s="71"/>
      <c r="E252" s="73">
        <f>E243+E251</f>
        <v>0</v>
      </c>
      <c r="G252" s="246" t="s">
        <v>171</v>
      </c>
    </row>
    <row r="253" spans="1:7" ht="38.25" customHeight="1" thickBot="1">
      <c r="A253" s="204" t="s">
        <v>14</v>
      </c>
      <c r="B253" s="205"/>
      <c r="C253" s="205"/>
      <c r="D253" s="206"/>
      <c r="E253" s="72">
        <f>SUM(E23,E36,E48,E59,E72,E98,E114,E132,E141,E151,E168,E184,E193,E208,E221,E24,E2343,E235)</f>
        <v>8926285</v>
      </c>
      <c r="G253" s="247">
        <f>E253/C47</f>
        <v>1309.8573671621641</v>
      </c>
    </row>
    <row r="254" spans="1:7" ht="38.25" customHeight="1" thickBot="1">
      <c r="A254" s="210" t="s">
        <v>76</v>
      </c>
      <c r="B254" s="211"/>
      <c r="C254" s="211"/>
      <c r="D254" s="212"/>
      <c r="E254" s="99">
        <f>SUM(E28,E43,E52,E66,E87,E106,E126,E136,E146,E161,E179,E188,E201,E215,E230,E251,E243,E238)</f>
        <v>2159391.833333333</v>
      </c>
      <c r="G254" s="246"/>
    </row>
    <row r="255" spans="1:7" ht="20.65" thickBot="1">
      <c r="A255" s="189" t="s">
        <v>20</v>
      </c>
      <c r="B255" s="190"/>
      <c r="C255" s="190"/>
      <c r="D255" s="190"/>
      <c r="E255" s="191"/>
      <c r="G255" s="246"/>
    </row>
    <row r="256" spans="1:7" ht="17.649999999999999">
      <c r="A256" s="53" t="s">
        <v>43</v>
      </c>
      <c r="B256" s="54" t="s">
        <v>12</v>
      </c>
      <c r="C256" s="55">
        <v>1</v>
      </c>
      <c r="D256" s="56">
        <v>320000</v>
      </c>
      <c r="E256" s="57">
        <f>C256*D256</f>
        <v>320000</v>
      </c>
      <c r="G256" s="246"/>
    </row>
    <row r="257" spans="1:7" ht="17.649999999999999">
      <c r="A257" s="58" t="s">
        <v>13</v>
      </c>
      <c r="B257" s="50" t="s">
        <v>12</v>
      </c>
      <c r="C257" s="51">
        <v>3</v>
      </c>
      <c r="D257" s="52">
        <v>30000</v>
      </c>
      <c r="E257" s="59">
        <f>C257*D257</f>
        <v>90000</v>
      </c>
      <c r="G257" s="246"/>
    </row>
    <row r="258" spans="1:7" ht="18" thickBot="1">
      <c r="A258" s="60" t="s">
        <v>44</v>
      </c>
      <c r="B258" s="61" t="s">
        <v>12</v>
      </c>
      <c r="C258" s="62">
        <v>2</v>
      </c>
      <c r="D258" s="63">
        <v>16000</v>
      </c>
      <c r="E258" s="64">
        <f>C258*D258</f>
        <v>32000</v>
      </c>
      <c r="G258" s="246"/>
    </row>
    <row r="259" spans="1:7" ht="44.25" customHeight="1" thickBot="1">
      <c r="A259" s="192" t="s">
        <v>21</v>
      </c>
      <c r="B259" s="193"/>
      <c r="C259" s="193"/>
      <c r="D259" s="194"/>
      <c r="E259" s="35">
        <f>SUM(E256:E258)</f>
        <v>442000</v>
      </c>
      <c r="G259" s="247"/>
    </row>
    <row r="260" spans="1:7" ht="24.95" customHeight="1" thickBot="1">
      <c r="A260" s="195" t="s">
        <v>7</v>
      </c>
      <c r="B260" s="196"/>
      <c r="C260" s="196"/>
      <c r="D260" s="197"/>
      <c r="E260" s="40">
        <f>E253+E259+E254</f>
        <v>11527676.833333332</v>
      </c>
      <c r="G260" s="247">
        <f>E260/C47</f>
        <v>1691.5897740668456</v>
      </c>
    </row>
    <row r="261" spans="1:7" ht="24.95" customHeight="1" thickBot="1">
      <c r="A261" s="195" t="s">
        <v>170</v>
      </c>
      <c r="B261" s="196"/>
      <c r="C261" s="196"/>
      <c r="D261" s="197"/>
      <c r="E261" s="40">
        <f>E260+(E260*22%)</f>
        <v>14063765.736666664</v>
      </c>
      <c r="G261" s="247">
        <f>E261/C47</f>
        <v>2063.7395243615515</v>
      </c>
    </row>
    <row r="262" spans="1:7" ht="39.950000000000003" customHeight="1"/>
    <row r="263" spans="1:7" ht="26.1" customHeight="1"/>
  </sheetData>
  <mergeCells count="35">
    <mergeCell ref="A254:D254"/>
    <mergeCell ref="A255:E255"/>
    <mergeCell ref="A259:D259"/>
    <mergeCell ref="A260:D260"/>
    <mergeCell ref="A261:D261"/>
    <mergeCell ref="A190:E190"/>
    <mergeCell ref="A203:E203"/>
    <mergeCell ref="A217:E217"/>
    <mergeCell ref="A232:E232"/>
    <mergeCell ref="A240:E240"/>
    <mergeCell ref="A253:D253"/>
    <mergeCell ref="A108:E108"/>
    <mergeCell ref="A128:E128"/>
    <mergeCell ref="A138:E138"/>
    <mergeCell ref="A148:E148"/>
    <mergeCell ref="A163:E163"/>
    <mergeCell ref="A181:E181"/>
    <mergeCell ref="A20:E20"/>
    <mergeCell ref="A30:E30"/>
    <mergeCell ref="A45:E45"/>
    <mergeCell ref="A54:E54"/>
    <mergeCell ref="A68:E68"/>
    <mergeCell ref="A89:E89"/>
    <mergeCell ref="A10:E10"/>
    <mergeCell ref="A11:E11"/>
    <mergeCell ref="A14:E14"/>
    <mergeCell ref="A15:E15"/>
    <mergeCell ref="A16:E17"/>
    <mergeCell ref="A19:E19"/>
    <mergeCell ref="A1:E1"/>
    <mergeCell ref="D3:E3"/>
    <mergeCell ref="D4:E4"/>
    <mergeCell ref="D5:E5"/>
    <mergeCell ref="D6:E6"/>
    <mergeCell ref="D7:E7"/>
  </mergeCells>
  <pageMargins left="0.7" right="0.7" top="0.75" bottom="0.75" header="0.3" footer="0.3"/>
  <pageSetup paperSize="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3"/>
  <sheetViews>
    <sheetView topLeftCell="A19" zoomScaleNormal="100" workbookViewId="0">
      <selection activeCell="D22" sqref="D22"/>
    </sheetView>
  </sheetViews>
  <sheetFormatPr defaultRowHeight="13.5"/>
  <cols>
    <col min="1" max="1" width="63.125" customWidth="1"/>
    <col min="2" max="2" width="10.125" customWidth="1"/>
    <col min="3" max="3" width="11.625" customWidth="1"/>
    <col min="4" max="4" width="18.75" customWidth="1"/>
    <col min="5" max="5" width="25" customWidth="1"/>
    <col min="6" max="6" width="2.625" customWidth="1"/>
    <col min="7" max="7" width="10.5" customWidth="1"/>
  </cols>
  <sheetData>
    <row r="1" spans="1:5">
      <c r="A1" s="213" t="s">
        <v>27</v>
      </c>
      <c r="B1" s="213"/>
      <c r="C1" s="213"/>
      <c r="D1" s="213"/>
      <c r="E1" s="213"/>
    </row>
    <row r="2" spans="1:5">
      <c r="A2" s="4"/>
      <c r="B2" s="4"/>
      <c r="C2" s="4"/>
      <c r="D2" s="4"/>
      <c r="E2" s="4"/>
    </row>
    <row r="3" spans="1:5">
      <c r="A3" s="3" t="s">
        <v>8</v>
      </c>
      <c r="B3" s="2"/>
      <c r="C3" s="5"/>
      <c r="D3" s="199" t="s">
        <v>9</v>
      </c>
      <c r="E3" s="199"/>
    </row>
    <row r="4" spans="1:5">
      <c r="A4" s="3" t="s">
        <v>10</v>
      </c>
      <c r="B4" s="2"/>
      <c r="C4" s="5"/>
      <c r="D4" s="199" t="s">
        <v>11</v>
      </c>
      <c r="E4" s="199"/>
    </row>
    <row r="5" spans="1:5">
      <c r="A5" s="3" t="s">
        <v>24</v>
      </c>
      <c r="B5" s="2"/>
      <c r="C5" s="5"/>
      <c r="D5" s="199" t="s">
        <v>15</v>
      </c>
      <c r="E5" s="199"/>
    </row>
    <row r="6" spans="1:5">
      <c r="A6" s="3" t="s">
        <v>25</v>
      </c>
      <c r="B6" s="2"/>
      <c r="C6" s="5"/>
      <c r="D6" s="198" t="s">
        <v>16</v>
      </c>
      <c r="E6" s="198"/>
    </row>
    <row r="7" spans="1:5">
      <c r="A7" s="3" t="s">
        <v>26</v>
      </c>
      <c r="B7" s="2"/>
      <c r="C7" s="5"/>
      <c r="D7" s="199" t="s">
        <v>17</v>
      </c>
      <c r="E7" s="199"/>
    </row>
    <row r="8" spans="1:5">
      <c r="A8" s="5"/>
      <c r="B8" s="5"/>
      <c r="C8" s="5"/>
      <c r="D8" s="5"/>
      <c r="E8" s="5"/>
    </row>
    <row r="9" spans="1:5">
      <c r="A9" s="5"/>
      <c r="B9" s="5"/>
      <c r="C9" s="5"/>
      <c r="D9" s="5"/>
      <c r="E9" s="5"/>
    </row>
    <row r="10" spans="1:5">
      <c r="A10" s="200" t="s">
        <v>28</v>
      </c>
      <c r="B10" s="200"/>
      <c r="C10" s="200"/>
      <c r="D10" s="200"/>
      <c r="E10" s="200"/>
    </row>
    <row r="11" spans="1:5">
      <c r="A11" s="200" t="s">
        <v>29</v>
      </c>
      <c r="B11" s="200"/>
      <c r="C11" s="200"/>
      <c r="D11" s="200"/>
      <c r="E11" s="200"/>
    </row>
    <row r="12" spans="1:5">
      <c r="A12" s="5"/>
      <c r="B12" s="5"/>
      <c r="C12" s="5"/>
      <c r="D12" s="5"/>
      <c r="E12" s="5"/>
    </row>
    <row r="13" spans="1:5" ht="13.9" thickBot="1">
      <c r="A13" s="5"/>
      <c r="B13" s="5"/>
      <c r="C13" s="5"/>
      <c r="D13" s="5"/>
      <c r="E13" s="5"/>
    </row>
    <row r="14" spans="1:5" ht="50.45" customHeight="1" thickBot="1">
      <c r="A14" s="220" t="s">
        <v>172</v>
      </c>
      <c r="B14" s="221"/>
      <c r="C14" s="221"/>
      <c r="D14" s="221"/>
      <c r="E14" s="222"/>
    </row>
    <row r="15" spans="1:5" ht="50.25" customHeight="1" thickBot="1">
      <c r="A15" s="220" t="s">
        <v>78</v>
      </c>
      <c r="B15" s="221"/>
      <c r="C15" s="221"/>
      <c r="D15" s="221"/>
      <c r="E15" s="222"/>
    </row>
    <row r="16" spans="1:5" ht="13.5" customHeight="1">
      <c r="A16" s="214" t="s">
        <v>173</v>
      </c>
      <c r="B16" s="215"/>
      <c r="C16" s="215"/>
      <c r="D16" s="215"/>
      <c r="E16" s="216"/>
    </row>
    <row r="17" spans="1:9" ht="362.65" customHeight="1" thickBot="1">
      <c r="A17" s="217"/>
      <c r="B17" s="218"/>
      <c r="C17" s="218"/>
      <c r="D17" s="218"/>
      <c r="E17" s="219"/>
    </row>
    <row r="18" spans="1:9" ht="48" customHeight="1" thickBot="1">
      <c r="A18" s="65" t="s">
        <v>18</v>
      </c>
      <c r="B18" s="66" t="s">
        <v>0</v>
      </c>
      <c r="C18" s="66" t="s">
        <v>1</v>
      </c>
      <c r="D18" s="67" t="s">
        <v>30</v>
      </c>
      <c r="E18" s="68" t="s">
        <v>31</v>
      </c>
    </row>
    <row r="19" spans="1:9" ht="27" customHeight="1" thickBot="1">
      <c r="A19" s="207" t="s">
        <v>23</v>
      </c>
      <c r="B19" s="208"/>
      <c r="C19" s="208"/>
      <c r="D19" s="208"/>
      <c r="E19" s="209"/>
    </row>
    <row r="20" spans="1:9" ht="24" customHeight="1" thickBot="1">
      <c r="A20" s="201" t="s">
        <v>79</v>
      </c>
      <c r="B20" s="202"/>
      <c r="C20" s="202"/>
      <c r="D20" s="202"/>
      <c r="E20" s="203"/>
      <c r="I20" s="102"/>
    </row>
    <row r="21" spans="1:9" ht="20.25">
      <c r="A21" s="103" t="s">
        <v>2</v>
      </c>
      <c r="B21" s="104"/>
      <c r="C21" s="104"/>
      <c r="D21" s="104"/>
      <c r="E21" s="105"/>
      <c r="I21" s="102"/>
    </row>
    <row r="22" spans="1:9" ht="15.4" thickBot="1">
      <c r="A22" s="106" t="s">
        <v>80</v>
      </c>
      <c r="B22" s="107" t="s">
        <v>3</v>
      </c>
      <c r="C22" s="108">
        <v>10310.5</v>
      </c>
      <c r="D22" s="109">
        <f>'Блок 1'!D22</f>
        <v>230</v>
      </c>
      <c r="E22" s="236">
        <f>C22*D22</f>
        <v>2371415</v>
      </c>
    </row>
    <row r="23" spans="1:9" ht="15.4" thickBot="1">
      <c r="A23" s="41" t="s">
        <v>4</v>
      </c>
      <c r="B23" s="110"/>
      <c r="C23" s="111"/>
      <c r="D23" s="231"/>
      <c r="E23" s="242">
        <f>E22</f>
        <v>2371415</v>
      </c>
    </row>
    <row r="24" spans="1:9" ht="15">
      <c r="A24" s="17" t="s">
        <v>45</v>
      </c>
      <c r="B24" s="6"/>
      <c r="C24" s="75"/>
      <c r="D24" s="49"/>
      <c r="E24" s="28"/>
    </row>
    <row r="25" spans="1:9" ht="16.5" customHeight="1">
      <c r="A25" s="123" t="s">
        <v>84</v>
      </c>
      <c r="B25" s="124" t="s">
        <v>3</v>
      </c>
      <c r="C25" s="243">
        <f>C22*1.25</f>
        <v>12888.125</v>
      </c>
      <c r="D25" s="109">
        <f>'Блок 1'!D25</f>
        <v>0</v>
      </c>
      <c r="E25" s="125">
        <f>C25*D25</f>
        <v>0</v>
      </c>
      <c r="F25" s="74"/>
      <c r="G25" s="74"/>
    </row>
    <row r="26" spans="1:9" ht="32.65" customHeight="1">
      <c r="A26" s="6" t="s">
        <v>85</v>
      </c>
      <c r="B26" s="6" t="s">
        <v>46</v>
      </c>
      <c r="C26" s="244">
        <f>C22*1.5</f>
        <v>15465.75</v>
      </c>
      <c r="D26" s="109">
        <f>'Блок 1'!D26</f>
        <v>0</v>
      </c>
      <c r="E26" s="49">
        <f>C26*D26</f>
        <v>0</v>
      </c>
      <c r="F26" s="74"/>
      <c r="G26" s="74"/>
    </row>
    <row r="27" spans="1:9" ht="16.5" customHeight="1" thickBot="1">
      <c r="A27" s="6" t="s">
        <v>86</v>
      </c>
      <c r="B27" s="6" t="s">
        <v>46</v>
      </c>
      <c r="C27" s="244">
        <f>C22*3</f>
        <v>30931.5</v>
      </c>
      <c r="D27" s="109">
        <f>'Блок 1'!D27</f>
        <v>0</v>
      </c>
      <c r="E27" s="180">
        <f>C27*D27</f>
        <v>0</v>
      </c>
      <c r="F27" s="74"/>
      <c r="G27" s="74"/>
    </row>
    <row r="28" spans="1:9" ht="18.75" customHeight="1" thickBot="1">
      <c r="A28" s="126" t="s">
        <v>47</v>
      </c>
      <c r="B28" s="127"/>
      <c r="C28" s="128"/>
      <c r="D28" s="178"/>
      <c r="E28" s="87">
        <f>E25+E26+E27</f>
        <v>0</v>
      </c>
      <c r="F28" s="74"/>
    </row>
    <row r="29" spans="1:9" ht="15" customHeight="1" thickBot="1">
      <c r="A29" s="112" t="s">
        <v>5</v>
      </c>
      <c r="B29" s="113"/>
      <c r="C29" s="113"/>
      <c r="D29" s="179"/>
      <c r="E29" s="181">
        <f>E23+E28</f>
        <v>2371415</v>
      </c>
    </row>
    <row r="30" spans="1:9" ht="31.5" customHeight="1" thickBot="1">
      <c r="A30" s="223" t="s">
        <v>169</v>
      </c>
      <c r="B30" s="224"/>
      <c r="C30" s="224"/>
      <c r="D30" s="224"/>
      <c r="E30" s="225"/>
    </row>
    <row r="31" spans="1:9" ht="14.45" customHeight="1">
      <c r="A31" s="114" t="s">
        <v>2</v>
      </c>
      <c r="B31" s="115"/>
      <c r="C31" s="115"/>
      <c r="D31" s="115"/>
      <c r="E31" s="116"/>
    </row>
    <row r="32" spans="1:9" ht="45">
      <c r="A32" s="15" t="s">
        <v>40</v>
      </c>
      <c r="B32" s="6" t="s">
        <v>6</v>
      </c>
      <c r="C32" s="39">
        <v>522</v>
      </c>
      <c r="D32" s="109">
        <f>'Блок 1'!D32</f>
        <v>120</v>
      </c>
      <c r="E32" s="20">
        <f>C32*D32</f>
        <v>62640</v>
      </c>
    </row>
    <row r="33" spans="1:7" ht="19.5" customHeight="1">
      <c r="A33" s="19" t="s">
        <v>81</v>
      </c>
      <c r="B33" s="90" t="s">
        <v>6</v>
      </c>
      <c r="C33" s="117">
        <f>C32</f>
        <v>522</v>
      </c>
      <c r="D33" s="109">
        <f>'Блок 1'!D33</f>
        <v>160</v>
      </c>
      <c r="E33" s="119">
        <f>C33*D33</f>
        <v>83520</v>
      </c>
    </row>
    <row r="34" spans="1:7" ht="30">
      <c r="A34" s="19" t="s">
        <v>82</v>
      </c>
      <c r="B34" s="90" t="s">
        <v>6</v>
      </c>
      <c r="C34" s="117">
        <v>211.4</v>
      </c>
      <c r="D34" s="109">
        <f>'Блок 1'!D34</f>
        <v>160</v>
      </c>
      <c r="E34" s="119">
        <f>C34*D34</f>
        <v>33824</v>
      </c>
    </row>
    <row r="35" spans="1:7" ht="15.4" thickBot="1">
      <c r="A35" s="19" t="s">
        <v>83</v>
      </c>
      <c r="B35" s="90" t="s">
        <v>6</v>
      </c>
      <c r="C35" s="117">
        <v>0</v>
      </c>
      <c r="D35" s="109">
        <f>'Блок 1'!D35</f>
        <v>160</v>
      </c>
      <c r="E35" s="235">
        <f>C35*D35</f>
        <v>0</v>
      </c>
    </row>
    <row r="36" spans="1:7" ht="15" customHeight="1" thickBot="1">
      <c r="A36" s="120" t="s">
        <v>4</v>
      </c>
      <c r="B36" s="121"/>
      <c r="C36" s="122"/>
      <c r="D36" s="230"/>
      <c r="E36" s="242">
        <f>SUM(E32:E35)</f>
        <v>179984</v>
      </c>
    </row>
    <row r="37" spans="1:7" ht="15">
      <c r="A37" s="17" t="s">
        <v>45</v>
      </c>
      <c r="B37" s="6"/>
      <c r="C37" s="75"/>
      <c r="D37" s="129"/>
      <c r="E37" s="238"/>
    </row>
    <row r="38" spans="1:7" ht="15">
      <c r="A38" s="92" t="s">
        <v>62</v>
      </c>
      <c r="B38" s="90" t="s">
        <v>61</v>
      </c>
      <c r="C38" s="91">
        <f>C32*0.3*0.1*1.1</f>
        <v>17.226000000000003</v>
      </c>
      <c r="D38" s="109">
        <f>'Блок 1'!D38</f>
        <v>0</v>
      </c>
      <c r="E38" s="20">
        <f>C38*D38</f>
        <v>0</v>
      </c>
      <c r="G38" s="74"/>
    </row>
    <row r="39" spans="1:7" ht="16.5" customHeight="1">
      <c r="A39" s="15" t="s">
        <v>87</v>
      </c>
      <c r="B39" s="15" t="str">
        <f>[1]Материал!B28</f>
        <v>м3</v>
      </c>
      <c r="C39" s="131">
        <f>C33</f>
        <v>522</v>
      </c>
      <c r="D39" s="109">
        <f>'Блок 1'!D39</f>
        <v>1300</v>
      </c>
      <c r="E39" s="130">
        <f>C39*D39</f>
        <v>678600</v>
      </c>
    </row>
    <row r="40" spans="1:7" ht="16.5" customHeight="1">
      <c r="A40" s="15" t="s">
        <v>88</v>
      </c>
      <c r="B40" s="15" t="str">
        <f>[1]Материал!B29</f>
        <v>м3</v>
      </c>
      <c r="C40" s="131">
        <f>C34</f>
        <v>211.4</v>
      </c>
      <c r="D40" s="109">
        <f>'Блок 1'!D40</f>
        <v>1300</v>
      </c>
      <c r="E40" s="130">
        <f>C40*D40</f>
        <v>274820</v>
      </c>
    </row>
    <row r="41" spans="1:7" ht="16.5" customHeight="1">
      <c r="A41" s="15" t="s">
        <v>89</v>
      </c>
      <c r="B41" s="15" t="str">
        <f>[1]Материал!B30</f>
        <v>м2</v>
      </c>
      <c r="C41" s="131">
        <f>C35</f>
        <v>0</v>
      </c>
      <c r="D41" s="109">
        <f>'Блок 1'!D41</f>
        <v>1300</v>
      </c>
      <c r="E41" s="130">
        <f>C41*D41</f>
        <v>0</v>
      </c>
    </row>
    <row r="42" spans="1:7" ht="16.5" customHeight="1" thickBot="1">
      <c r="A42" s="15" t="s">
        <v>90</v>
      </c>
      <c r="B42" s="6" t="s">
        <v>46</v>
      </c>
      <c r="C42" s="6">
        <f>(C39+C40+C41)*2*5</f>
        <v>7334</v>
      </c>
      <c r="D42" s="109">
        <f>'Блок 1'!D42</f>
        <v>3.8</v>
      </c>
      <c r="E42" s="174">
        <f>C42*D42</f>
        <v>27869.199999999997</v>
      </c>
    </row>
    <row r="43" spans="1:7" ht="18.75" customHeight="1" thickBot="1">
      <c r="A43" s="80" t="s">
        <v>47</v>
      </c>
      <c r="B43" s="81"/>
      <c r="C43" s="82"/>
      <c r="D43" s="167"/>
      <c r="E43" s="177">
        <f>SUM(E38:E42)</f>
        <v>981289.2</v>
      </c>
    </row>
    <row r="44" spans="1:7" ht="15.4" thickBot="1">
      <c r="A44" s="29" t="s">
        <v>5</v>
      </c>
      <c r="B44" s="30"/>
      <c r="C44" s="31"/>
      <c r="D44" s="69"/>
      <c r="E44" s="73">
        <f>E36+E43</f>
        <v>1161273.2</v>
      </c>
    </row>
    <row r="45" spans="1:7" ht="33" customHeight="1" thickBot="1">
      <c r="A45" s="201" t="s">
        <v>32</v>
      </c>
      <c r="B45" s="202"/>
      <c r="C45" s="202"/>
      <c r="D45" s="202"/>
      <c r="E45" s="203"/>
    </row>
    <row r="46" spans="1:7" ht="15" customHeight="1">
      <c r="A46" s="44" t="s">
        <v>2</v>
      </c>
      <c r="B46" s="45"/>
      <c r="C46" s="84"/>
      <c r="D46" s="85"/>
      <c r="E46" s="86"/>
    </row>
    <row r="47" spans="1:7" ht="30" customHeight="1" thickBot="1">
      <c r="A47" s="15" t="s">
        <v>33</v>
      </c>
      <c r="B47" s="6" t="s">
        <v>3</v>
      </c>
      <c r="C47" s="38">
        <f>C22+337.3</f>
        <v>10647.8</v>
      </c>
      <c r="D47" s="109">
        <f>'Блок 1'!D47</f>
        <v>60</v>
      </c>
      <c r="E47" s="125">
        <f>C47*D47</f>
        <v>638868</v>
      </c>
    </row>
    <row r="48" spans="1:7" ht="15.4" thickBot="1">
      <c r="A48" s="16" t="s">
        <v>4</v>
      </c>
      <c r="B48" s="7"/>
      <c r="C48" s="8"/>
      <c r="D48" s="229"/>
      <c r="E48" s="240">
        <f>E47</f>
        <v>638868</v>
      </c>
    </row>
    <row r="49" spans="1:8" ht="15">
      <c r="A49" s="17" t="s">
        <v>45</v>
      </c>
      <c r="B49" s="6"/>
      <c r="C49" s="75"/>
      <c r="D49" s="49"/>
      <c r="E49" s="28"/>
    </row>
    <row r="50" spans="1:8" ht="16.5" customHeight="1">
      <c r="A50" s="76" t="s">
        <v>48</v>
      </c>
      <c r="B50" s="77" t="s">
        <v>3</v>
      </c>
      <c r="C50" s="78">
        <f>C47*1.15</f>
        <v>12244.969999999998</v>
      </c>
      <c r="D50" s="109">
        <f>'Блок 1'!D50</f>
        <v>0</v>
      </c>
      <c r="E50" s="18">
        <f>C50*D50</f>
        <v>0</v>
      </c>
      <c r="F50" s="74"/>
      <c r="G50" s="74"/>
    </row>
    <row r="51" spans="1:8" ht="16.5" customHeight="1" thickBot="1">
      <c r="A51" s="76" t="s">
        <v>49</v>
      </c>
      <c r="B51" s="77" t="s">
        <v>46</v>
      </c>
      <c r="C51" s="245">
        <f>((C47/3)+C131+C130)/25</f>
        <v>148.85866666666664</v>
      </c>
      <c r="D51" s="109">
        <f>'Блок 1'!D51</f>
        <v>0</v>
      </c>
      <c r="E51" s="18">
        <f>C51*D51</f>
        <v>0</v>
      </c>
      <c r="F51" s="74"/>
      <c r="G51" s="74"/>
    </row>
    <row r="52" spans="1:8" ht="18.75" customHeight="1" thickBot="1">
      <c r="A52" s="80" t="s">
        <v>47</v>
      </c>
      <c r="B52" s="81"/>
      <c r="C52" s="82"/>
      <c r="D52" s="83"/>
      <c r="E52" s="87">
        <f>E50+E51</f>
        <v>0</v>
      </c>
      <c r="F52" s="74"/>
    </row>
    <row r="53" spans="1:8" ht="15.4" thickBot="1">
      <c r="A53" s="29" t="s">
        <v>5</v>
      </c>
      <c r="B53" s="30"/>
      <c r="C53" s="31"/>
      <c r="D53" s="69"/>
      <c r="E53" s="73">
        <f>E48+E52</f>
        <v>638868</v>
      </c>
    </row>
    <row r="54" spans="1:8" ht="33.75" customHeight="1" thickBot="1">
      <c r="A54" s="201" t="s">
        <v>91</v>
      </c>
      <c r="B54" s="202"/>
      <c r="C54" s="202"/>
      <c r="D54" s="202"/>
      <c r="E54" s="203"/>
    </row>
    <row r="55" spans="1:8" ht="15">
      <c r="A55" s="25" t="s">
        <v>2</v>
      </c>
      <c r="B55" s="26"/>
      <c r="C55" s="32"/>
      <c r="D55" s="27"/>
      <c r="E55" s="28"/>
    </row>
    <row r="56" spans="1:8" ht="30">
      <c r="A56" s="15" t="s">
        <v>92</v>
      </c>
      <c r="B56" s="6" t="s">
        <v>3</v>
      </c>
      <c r="C56" s="38">
        <f>C47</f>
        <v>10647.8</v>
      </c>
      <c r="D56" s="109">
        <f>'Блок 1'!D56</f>
        <v>280</v>
      </c>
      <c r="E56" s="18">
        <f>C56*D56</f>
        <v>2981384</v>
      </c>
    </row>
    <row r="57" spans="1:8" ht="18" customHeight="1">
      <c r="A57" s="15" t="s">
        <v>162</v>
      </c>
      <c r="B57" s="6" t="s">
        <v>3</v>
      </c>
      <c r="C57" s="38">
        <f>C56-C58</f>
        <v>10310.5</v>
      </c>
      <c r="D57" s="109">
        <f>'Блок 1'!D57</f>
        <v>75</v>
      </c>
      <c r="E57" s="18">
        <f>C57*D57</f>
        <v>773287.5</v>
      </c>
    </row>
    <row r="58" spans="1:8" ht="18" customHeight="1" thickBot="1">
      <c r="A58" s="15" t="s">
        <v>163</v>
      </c>
      <c r="B58" s="6" t="s">
        <v>3</v>
      </c>
      <c r="C58" s="38">
        <v>337.3</v>
      </c>
      <c r="D58" s="109">
        <f>'Блок 1'!D58</f>
        <v>100</v>
      </c>
      <c r="E58" s="125">
        <f>C58*D58</f>
        <v>33730</v>
      </c>
    </row>
    <row r="59" spans="1:8" ht="15.4" thickBot="1">
      <c r="A59" s="16" t="s">
        <v>4</v>
      </c>
      <c r="B59" s="7"/>
      <c r="C59" s="8"/>
      <c r="D59" s="229"/>
      <c r="E59" s="240">
        <f>SUM(E56:E58)</f>
        <v>3788401.5</v>
      </c>
    </row>
    <row r="60" spans="1:8" ht="15">
      <c r="A60" s="17" t="s">
        <v>45</v>
      </c>
      <c r="B60" s="6"/>
      <c r="C60" s="75"/>
      <c r="D60" s="49"/>
      <c r="E60" s="28"/>
    </row>
    <row r="61" spans="1:8" ht="15">
      <c r="A61" s="15" t="s">
        <v>93</v>
      </c>
      <c r="B61" s="6" t="s">
        <v>3</v>
      </c>
      <c r="C61" s="78">
        <f>C47*1.03*2</f>
        <v>21934.468000000001</v>
      </c>
      <c r="D61" s="109">
        <f>'Блок 1'!D61</f>
        <v>0</v>
      </c>
      <c r="E61" s="18">
        <f>C61*D61</f>
        <v>0</v>
      </c>
      <c r="G61" s="74"/>
    </row>
    <row r="62" spans="1:8" ht="16.5" customHeight="1">
      <c r="A62" s="76" t="s">
        <v>94</v>
      </c>
      <c r="B62" s="77" t="s">
        <v>46</v>
      </c>
      <c r="C62" s="78">
        <f>C47*5</f>
        <v>53239</v>
      </c>
      <c r="D62" s="109">
        <f>'Блок 1'!D62</f>
        <v>0</v>
      </c>
      <c r="E62" s="18">
        <f>C62*D62</f>
        <v>0</v>
      </c>
      <c r="G62" s="74"/>
      <c r="H62" s="74"/>
    </row>
    <row r="63" spans="1:8" ht="16.5" customHeight="1">
      <c r="A63" s="76" t="s">
        <v>51</v>
      </c>
      <c r="B63" s="77" t="s">
        <v>46</v>
      </c>
      <c r="C63" s="78">
        <f>C22*5</f>
        <v>51552.5</v>
      </c>
      <c r="D63" s="109">
        <f>'Блок 1'!D63</f>
        <v>0</v>
      </c>
      <c r="E63" s="18">
        <f>C63*D63</f>
        <v>0</v>
      </c>
      <c r="G63" s="74"/>
      <c r="H63" s="74"/>
    </row>
    <row r="64" spans="1:8" ht="16.5" customHeight="1">
      <c r="A64" s="76" t="s">
        <v>95</v>
      </c>
      <c r="B64" s="77" t="s">
        <v>46</v>
      </c>
      <c r="C64" s="78">
        <f>C58*5</f>
        <v>1686.5</v>
      </c>
      <c r="D64" s="109">
        <f>'Блок 1'!D64</f>
        <v>0</v>
      </c>
      <c r="E64" s="18">
        <f>C64*D64</f>
        <v>0</v>
      </c>
      <c r="G64" s="74"/>
      <c r="H64" s="74"/>
    </row>
    <row r="65" spans="1:8" ht="16.5" customHeight="1" thickBot="1">
      <c r="A65" s="76" t="s">
        <v>96</v>
      </c>
      <c r="B65" s="77" t="s">
        <v>46</v>
      </c>
      <c r="C65" s="78">
        <f>C64</f>
        <v>1686.5</v>
      </c>
      <c r="D65" s="109">
        <f>'Блок 1'!D65</f>
        <v>0</v>
      </c>
      <c r="E65" s="18">
        <f>C65*D65</f>
        <v>0</v>
      </c>
      <c r="G65" s="74"/>
      <c r="H65" s="74"/>
    </row>
    <row r="66" spans="1:8" ht="15.4" thickBot="1">
      <c r="A66" s="80" t="s">
        <v>47</v>
      </c>
      <c r="B66" s="81"/>
      <c r="C66" s="82"/>
      <c r="D66" s="83"/>
      <c r="E66" s="87">
        <f>SUM(E61:E65)</f>
        <v>0</v>
      </c>
    </row>
    <row r="67" spans="1:8" ht="17.649999999999999" customHeight="1" thickBot="1">
      <c r="A67" s="48" t="s">
        <v>5</v>
      </c>
      <c r="B67" s="88"/>
      <c r="C67" s="88"/>
      <c r="D67" s="89"/>
      <c r="E67" s="73">
        <f>E59+E66</f>
        <v>3788401.5</v>
      </c>
    </row>
    <row r="68" spans="1:8" s="138" customFormat="1" ht="36" customHeight="1" thickBot="1">
      <c r="A68" s="186" t="s">
        <v>114</v>
      </c>
      <c r="B68" s="187"/>
      <c r="C68" s="187"/>
      <c r="D68" s="187"/>
      <c r="E68" s="188"/>
    </row>
    <row r="69" spans="1:8" s="143" customFormat="1" ht="16.350000000000001" customHeight="1">
      <c r="A69" s="182" t="s">
        <v>108</v>
      </c>
      <c r="B69" s="183"/>
      <c r="C69" s="183"/>
      <c r="D69" s="184"/>
      <c r="E69" s="185"/>
    </row>
    <row r="70" spans="1:8" s="143" customFormat="1" ht="15">
      <c r="A70" s="148" t="s">
        <v>141</v>
      </c>
      <c r="B70" s="145" t="s">
        <v>109</v>
      </c>
      <c r="C70" s="153">
        <v>96</v>
      </c>
      <c r="D70" s="109" t="str">
        <f>'Блок 1'!D70</f>
        <v>170,00 ₽</v>
      </c>
      <c r="E70" s="147">
        <f>D70*C70</f>
        <v>16320</v>
      </c>
    </row>
    <row r="71" spans="1:8" ht="18" customHeight="1" thickBot="1">
      <c r="A71" s="15" t="s">
        <v>164</v>
      </c>
      <c r="B71" s="6" t="s">
        <v>3</v>
      </c>
      <c r="C71" s="38">
        <f>C70</f>
        <v>96</v>
      </c>
      <c r="D71" s="109">
        <f>'Блок 1'!D71</f>
        <v>75</v>
      </c>
      <c r="E71" s="125">
        <f>C71*D71</f>
        <v>7200</v>
      </c>
    </row>
    <row r="72" spans="1:8" s="143" customFormat="1" ht="17.25" customHeight="1" thickBot="1">
      <c r="A72" s="149" t="s">
        <v>110</v>
      </c>
      <c r="B72" s="150"/>
      <c r="C72" s="150"/>
      <c r="D72" s="227"/>
      <c r="E72" s="241">
        <f>E70+E71</f>
        <v>23520</v>
      </c>
    </row>
    <row r="73" spans="1:8" ht="15">
      <c r="A73" s="17" t="s">
        <v>45</v>
      </c>
      <c r="B73" s="6"/>
      <c r="C73" s="75"/>
      <c r="D73" s="129"/>
      <c r="E73" s="239"/>
      <c r="F73" s="134" t="s">
        <v>112</v>
      </c>
    </row>
    <row r="74" spans="1:8" ht="16.5" customHeight="1">
      <c r="A74" s="76" t="s">
        <v>115</v>
      </c>
      <c r="B74" s="77" t="s">
        <v>127</v>
      </c>
      <c r="C74" s="78">
        <v>1.7496</v>
      </c>
      <c r="D74" s="109">
        <f>'Блок 1'!D74</f>
        <v>0</v>
      </c>
      <c r="E74" s="18">
        <f t="shared" ref="E74:E86" si="0">D74*C74</f>
        <v>0</v>
      </c>
      <c r="G74" s="74"/>
      <c r="H74" s="74"/>
    </row>
    <row r="75" spans="1:8" ht="16.5" customHeight="1">
      <c r="A75" s="76" t="s">
        <v>116</v>
      </c>
      <c r="B75" s="77" t="s">
        <v>127</v>
      </c>
      <c r="C75" s="78">
        <v>2.4624000000000001</v>
      </c>
      <c r="D75" s="109">
        <f>'Блок 1'!D75</f>
        <v>0</v>
      </c>
      <c r="E75" s="18">
        <f t="shared" si="0"/>
        <v>0</v>
      </c>
      <c r="G75" s="74"/>
      <c r="H75" s="74"/>
    </row>
    <row r="76" spans="1:8" ht="16.5" customHeight="1">
      <c r="A76" s="76" t="s">
        <v>117</v>
      </c>
      <c r="B76" s="77" t="s">
        <v>127</v>
      </c>
      <c r="C76" s="78">
        <v>3.28512</v>
      </c>
      <c r="D76" s="109">
        <f>'Блок 1'!D76</f>
        <v>0</v>
      </c>
      <c r="E76" s="18">
        <f t="shared" si="0"/>
        <v>0</v>
      </c>
      <c r="G76" s="74"/>
      <c r="H76" s="74"/>
    </row>
    <row r="77" spans="1:8" ht="16.5" customHeight="1">
      <c r="A77" s="76" t="s">
        <v>94</v>
      </c>
      <c r="B77" s="77" t="s">
        <v>46</v>
      </c>
      <c r="C77" s="78">
        <v>88</v>
      </c>
      <c r="D77" s="109">
        <f>'Блок 1'!D77</f>
        <v>0</v>
      </c>
      <c r="E77" s="18">
        <f t="shared" si="0"/>
        <v>0</v>
      </c>
      <c r="G77" s="74">
        <v>1200</v>
      </c>
      <c r="H77" s="74"/>
    </row>
    <row r="78" spans="1:8" ht="16.5" customHeight="1">
      <c r="A78" s="76" t="s">
        <v>118</v>
      </c>
      <c r="B78" s="77" t="s">
        <v>46</v>
      </c>
      <c r="C78" s="78">
        <v>72</v>
      </c>
      <c r="D78" s="109">
        <f>'Блок 1'!D78</f>
        <v>0</v>
      </c>
      <c r="E78" s="18">
        <f t="shared" si="0"/>
        <v>0</v>
      </c>
      <c r="G78" s="74">
        <v>930</v>
      </c>
      <c r="H78" s="74"/>
    </row>
    <row r="79" spans="1:8" ht="16.5" customHeight="1">
      <c r="A79" s="76" t="s">
        <v>119</v>
      </c>
      <c r="B79" s="77" t="s">
        <v>46</v>
      </c>
      <c r="C79" s="78">
        <v>58</v>
      </c>
      <c r="D79" s="109">
        <f>'Блок 1'!D79</f>
        <v>0</v>
      </c>
      <c r="E79" s="18">
        <f t="shared" si="0"/>
        <v>0</v>
      </c>
      <c r="G79" s="74">
        <v>720</v>
      </c>
      <c r="H79" s="74"/>
    </row>
    <row r="80" spans="1:8" ht="16.5" customHeight="1">
      <c r="A80" s="76" t="s">
        <v>120</v>
      </c>
      <c r="B80" s="77" t="s">
        <v>46</v>
      </c>
      <c r="C80" s="78">
        <v>46</v>
      </c>
      <c r="D80" s="109">
        <f>'Блок 1'!D80</f>
        <v>0</v>
      </c>
      <c r="E80" s="18">
        <f t="shared" si="0"/>
        <v>0</v>
      </c>
      <c r="G80" s="74">
        <v>470</v>
      </c>
      <c r="H80" s="74"/>
    </row>
    <row r="81" spans="1:8" ht="16.5" customHeight="1">
      <c r="A81" s="76" t="s">
        <v>121</v>
      </c>
      <c r="B81" s="77" t="s">
        <v>46</v>
      </c>
      <c r="C81" s="78">
        <v>30</v>
      </c>
      <c r="D81" s="109">
        <f>'Блок 1'!D81</f>
        <v>0</v>
      </c>
      <c r="E81" s="18">
        <f t="shared" si="0"/>
        <v>0</v>
      </c>
      <c r="G81" s="74">
        <v>450</v>
      </c>
      <c r="H81" s="74"/>
    </row>
    <row r="82" spans="1:8" ht="16.5" customHeight="1">
      <c r="A82" s="76" t="s">
        <v>122</v>
      </c>
      <c r="B82" s="77" t="s">
        <v>46</v>
      </c>
      <c r="C82" s="78">
        <v>18</v>
      </c>
      <c r="D82" s="109">
        <f>'Блок 1'!D82</f>
        <v>0</v>
      </c>
      <c r="E82" s="18">
        <f t="shared" si="0"/>
        <v>0</v>
      </c>
      <c r="G82" s="74">
        <v>330</v>
      </c>
      <c r="H82" s="74"/>
    </row>
    <row r="83" spans="1:8" ht="16.5" customHeight="1">
      <c r="A83" s="76" t="s">
        <v>123</v>
      </c>
      <c r="B83" s="77" t="s">
        <v>46</v>
      </c>
      <c r="C83" s="78">
        <v>6</v>
      </c>
      <c r="D83" s="109">
        <f>'Блок 1'!D83</f>
        <v>0</v>
      </c>
      <c r="E83" s="18">
        <f t="shared" si="0"/>
        <v>0</v>
      </c>
      <c r="G83" s="74">
        <v>280</v>
      </c>
      <c r="H83" s="74"/>
    </row>
    <row r="84" spans="1:8" ht="16.5" customHeight="1">
      <c r="A84" s="76" t="s">
        <v>124</v>
      </c>
      <c r="B84" s="77" t="s">
        <v>46</v>
      </c>
      <c r="C84" s="78">
        <v>132</v>
      </c>
      <c r="D84" s="109">
        <f>'Блок 1'!D84</f>
        <v>0</v>
      </c>
      <c r="E84" s="18">
        <f t="shared" si="0"/>
        <v>0</v>
      </c>
      <c r="G84" s="74">
        <v>350</v>
      </c>
      <c r="H84" s="74"/>
    </row>
    <row r="85" spans="1:8" ht="16.5" customHeight="1">
      <c r="A85" s="76" t="s">
        <v>125</v>
      </c>
      <c r="B85" s="77" t="s">
        <v>46</v>
      </c>
      <c r="C85" s="78">
        <v>250</v>
      </c>
      <c r="D85" s="109">
        <f>'Блок 1'!D85</f>
        <v>0</v>
      </c>
      <c r="E85" s="18">
        <f t="shared" si="0"/>
        <v>0</v>
      </c>
      <c r="G85" s="74">
        <v>250</v>
      </c>
      <c r="H85" s="74"/>
    </row>
    <row r="86" spans="1:8" ht="16.5" customHeight="1" thickBot="1">
      <c r="A86" s="76" t="s">
        <v>126</v>
      </c>
      <c r="B86" s="77" t="s">
        <v>46</v>
      </c>
      <c r="C86" s="78">
        <v>2500</v>
      </c>
      <c r="D86" s="109">
        <f>'Блок 1'!D86</f>
        <v>0</v>
      </c>
      <c r="E86" s="125">
        <f t="shared" si="0"/>
        <v>0</v>
      </c>
      <c r="G86" s="74">
        <v>2500</v>
      </c>
      <c r="H86" s="74"/>
    </row>
    <row r="87" spans="1:8" ht="18.75" customHeight="1" thickBot="1">
      <c r="A87" s="80" t="s">
        <v>47</v>
      </c>
      <c r="B87" s="81"/>
      <c r="C87" s="82"/>
      <c r="D87" s="167"/>
      <c r="E87" s="177">
        <f>SUM(E74:E86)</f>
        <v>0</v>
      </c>
    </row>
    <row r="88" spans="1:8" s="143" customFormat="1" ht="17.25" customHeight="1" thickBot="1">
      <c r="A88" s="154" t="s">
        <v>113</v>
      </c>
      <c r="B88" s="155"/>
      <c r="C88" s="155"/>
      <c r="D88" s="170"/>
      <c r="E88" s="176">
        <f>E72+E87</f>
        <v>23520</v>
      </c>
    </row>
    <row r="89" spans="1:8" s="138" customFormat="1" ht="36" customHeight="1" thickBot="1">
      <c r="A89" s="186" t="s">
        <v>19</v>
      </c>
      <c r="B89" s="187"/>
      <c r="C89" s="187"/>
      <c r="D89" s="187"/>
      <c r="E89" s="188"/>
    </row>
    <row r="90" spans="1:8" ht="15">
      <c r="A90" s="25" t="s">
        <v>2</v>
      </c>
      <c r="B90" s="26"/>
      <c r="C90" s="26"/>
      <c r="D90" s="26"/>
      <c r="E90" s="33"/>
    </row>
    <row r="91" spans="1:8" ht="15">
      <c r="A91" s="15" t="s">
        <v>35</v>
      </c>
      <c r="B91" s="6" t="s">
        <v>3</v>
      </c>
      <c r="C91" s="39">
        <v>0</v>
      </c>
      <c r="D91" s="109">
        <f>'Блок 1'!D91</f>
        <v>60</v>
      </c>
      <c r="E91" s="20">
        <f t="shared" ref="E91:E97" si="1">C91*D91</f>
        <v>0</v>
      </c>
    </row>
    <row r="92" spans="1:8" ht="50.25" customHeight="1">
      <c r="A92" s="15" t="s">
        <v>97</v>
      </c>
      <c r="B92" s="6" t="s">
        <v>3</v>
      </c>
      <c r="C92" s="39">
        <f>C22-C93</f>
        <v>8934.1</v>
      </c>
      <c r="D92" s="109">
        <f>'Блок 1'!D92</f>
        <v>310</v>
      </c>
      <c r="E92" s="20">
        <f t="shared" si="1"/>
        <v>2769571</v>
      </c>
    </row>
    <row r="93" spans="1:8" ht="49.5" customHeight="1">
      <c r="A93" s="15" t="s">
        <v>98</v>
      </c>
      <c r="B93" s="6" t="s">
        <v>3</v>
      </c>
      <c r="C93" s="39">
        <v>1376.4</v>
      </c>
      <c r="D93" s="109">
        <f>'Блок 1'!D93</f>
        <v>385</v>
      </c>
      <c r="E93" s="20">
        <f t="shared" si="1"/>
        <v>529914</v>
      </c>
    </row>
    <row r="94" spans="1:8" ht="18.75" customHeight="1">
      <c r="A94" s="15" t="s">
        <v>99</v>
      </c>
      <c r="B94" s="6" t="s">
        <v>3</v>
      </c>
      <c r="C94" s="39">
        <f>C92+C93</f>
        <v>10310.5</v>
      </c>
      <c r="D94" s="109">
        <f>'Блок 1'!D94</f>
        <v>75</v>
      </c>
      <c r="E94" s="20">
        <f t="shared" si="1"/>
        <v>773287.5</v>
      </c>
    </row>
    <row r="95" spans="1:8" ht="50.25" customHeight="1">
      <c r="A95" s="15" t="s">
        <v>100</v>
      </c>
      <c r="B95" s="6" t="s">
        <v>3</v>
      </c>
      <c r="C95" s="39">
        <f>337.3-C96</f>
        <v>285.7</v>
      </c>
      <c r="D95" s="109">
        <f>'Блок 1'!D95</f>
        <v>385</v>
      </c>
      <c r="E95" s="20">
        <f t="shared" si="1"/>
        <v>109994.5</v>
      </c>
    </row>
    <row r="96" spans="1:8" ht="49.5" customHeight="1">
      <c r="A96" s="15" t="s">
        <v>101</v>
      </c>
      <c r="B96" s="6" t="s">
        <v>3</v>
      </c>
      <c r="C96" s="39">
        <v>51.6</v>
      </c>
      <c r="D96" s="109">
        <f>'Блок 1'!D96</f>
        <v>480</v>
      </c>
      <c r="E96" s="20">
        <f t="shared" si="1"/>
        <v>24768</v>
      </c>
    </row>
    <row r="97" spans="1:8" ht="15.4" thickBot="1">
      <c r="A97" s="15" t="s">
        <v>102</v>
      </c>
      <c r="B97" s="6" t="s">
        <v>3</v>
      </c>
      <c r="C97" s="39">
        <f>C95+C96</f>
        <v>337.3</v>
      </c>
      <c r="D97" s="109">
        <f>'Блок 1'!D97</f>
        <v>100</v>
      </c>
      <c r="E97" s="232">
        <f t="shared" si="1"/>
        <v>33730</v>
      </c>
    </row>
    <row r="98" spans="1:8" ht="15.4" thickBot="1">
      <c r="A98" s="16" t="s">
        <v>4</v>
      </c>
      <c r="B98" s="7"/>
      <c r="C98" s="11"/>
      <c r="D98" s="229"/>
      <c r="E98" s="240">
        <f>SUM(E91:E97)</f>
        <v>4241265</v>
      </c>
    </row>
    <row r="99" spans="1:8" ht="15">
      <c r="A99" s="17" t="s">
        <v>45</v>
      </c>
      <c r="B99" s="6"/>
      <c r="C99" s="75"/>
      <c r="D99" s="49"/>
      <c r="E99" s="28"/>
    </row>
    <row r="100" spans="1:8" ht="15">
      <c r="A100" s="15" t="s">
        <v>52</v>
      </c>
      <c r="B100" s="6" t="s">
        <v>3</v>
      </c>
      <c r="C100" s="78">
        <f>C47*1.18</f>
        <v>12564.403999999999</v>
      </c>
      <c r="D100" s="109">
        <f>'Блок 1'!D100</f>
        <v>0</v>
      </c>
      <c r="E100" s="18">
        <f t="shared" ref="E100:E105" si="2">C100*D100</f>
        <v>0</v>
      </c>
      <c r="G100" s="74"/>
    </row>
    <row r="101" spans="1:8" ht="16.5" customHeight="1">
      <c r="A101" s="76" t="s">
        <v>50</v>
      </c>
      <c r="B101" s="77" t="s">
        <v>46</v>
      </c>
      <c r="C101" s="78">
        <f>C94*5</f>
        <v>51552.5</v>
      </c>
      <c r="D101" s="109">
        <f>'Блок 1'!D101</f>
        <v>0</v>
      </c>
      <c r="E101" s="18">
        <f t="shared" si="2"/>
        <v>0</v>
      </c>
      <c r="G101" s="74"/>
      <c r="H101" s="74"/>
    </row>
    <row r="102" spans="1:8" ht="16.5" customHeight="1">
      <c r="A102" s="76" t="s">
        <v>51</v>
      </c>
      <c r="B102" s="77" t="s">
        <v>46</v>
      </c>
      <c r="C102" s="78">
        <f>C101</f>
        <v>51552.5</v>
      </c>
      <c r="D102" s="109">
        <f>'Блок 1'!D102</f>
        <v>0</v>
      </c>
      <c r="E102" s="18">
        <f t="shared" si="2"/>
        <v>0</v>
      </c>
      <c r="G102" s="74"/>
      <c r="H102" s="74"/>
    </row>
    <row r="103" spans="1:8" ht="15">
      <c r="A103" s="76" t="s">
        <v>63</v>
      </c>
      <c r="B103" s="93" t="s">
        <v>46</v>
      </c>
      <c r="C103" s="94">
        <v>15</v>
      </c>
      <c r="D103" s="109">
        <f>'Блок 1'!D103</f>
        <v>0</v>
      </c>
      <c r="E103" s="95">
        <f t="shared" si="2"/>
        <v>0</v>
      </c>
    </row>
    <row r="104" spans="1:8" ht="16.5" customHeight="1">
      <c r="A104" s="76" t="s">
        <v>95</v>
      </c>
      <c r="B104" s="77" t="s">
        <v>46</v>
      </c>
      <c r="C104" s="78">
        <f>C97*5</f>
        <v>1686.5</v>
      </c>
      <c r="D104" s="109">
        <f>'Блок 1'!D104</f>
        <v>0</v>
      </c>
      <c r="E104" s="18">
        <f t="shared" si="2"/>
        <v>0</v>
      </c>
      <c r="G104" s="74"/>
      <c r="H104" s="74"/>
    </row>
    <row r="105" spans="1:8" ht="16.5" customHeight="1" thickBot="1">
      <c r="A105" s="76" t="s">
        <v>96</v>
      </c>
      <c r="B105" s="77" t="s">
        <v>46</v>
      </c>
      <c r="C105" s="78">
        <f>C104</f>
        <v>1686.5</v>
      </c>
      <c r="D105" s="109">
        <f>'Блок 1'!D105</f>
        <v>0</v>
      </c>
      <c r="E105" s="18">
        <f t="shared" si="2"/>
        <v>0</v>
      </c>
      <c r="G105" s="74"/>
      <c r="H105" s="74"/>
    </row>
    <row r="106" spans="1:8" ht="15.4" thickBot="1">
      <c r="A106" s="80" t="s">
        <v>47</v>
      </c>
      <c r="B106" s="81"/>
      <c r="C106" s="82"/>
      <c r="D106" s="83"/>
      <c r="E106" s="87">
        <f>SUM(E100:E105)</f>
        <v>0</v>
      </c>
    </row>
    <row r="107" spans="1:8" ht="15.4" thickBot="1">
      <c r="A107" s="29" t="s">
        <v>5</v>
      </c>
      <c r="B107" s="34"/>
      <c r="C107" s="34"/>
      <c r="D107" s="70"/>
      <c r="E107" s="73">
        <f>E98+E106</f>
        <v>4241265</v>
      </c>
    </row>
    <row r="108" spans="1:8" s="138" customFormat="1" ht="36" customHeight="1" thickBot="1">
      <c r="A108" s="186" t="s">
        <v>34</v>
      </c>
      <c r="B108" s="187"/>
      <c r="C108" s="187"/>
      <c r="D108" s="187"/>
      <c r="E108" s="188"/>
    </row>
    <row r="109" spans="1:8" ht="15">
      <c r="A109" s="44" t="s">
        <v>2</v>
      </c>
      <c r="B109" s="45"/>
      <c r="C109" s="45"/>
      <c r="D109" s="45"/>
      <c r="E109" s="46"/>
    </row>
    <row r="110" spans="1:8" ht="15">
      <c r="A110" s="15" t="s">
        <v>36</v>
      </c>
      <c r="B110" s="6" t="s">
        <v>6</v>
      </c>
      <c r="C110" s="39">
        <f>C34*2</f>
        <v>422.8</v>
      </c>
      <c r="D110" s="109">
        <f>'Блок 1'!D110</f>
        <v>500</v>
      </c>
      <c r="E110" s="20">
        <f>C110*D110</f>
        <v>211400</v>
      </c>
    </row>
    <row r="111" spans="1:8" ht="15">
      <c r="A111" s="15" t="s">
        <v>106</v>
      </c>
      <c r="B111" s="6" t="s">
        <v>6</v>
      </c>
      <c r="C111" s="39">
        <f>C110</f>
        <v>422.8</v>
      </c>
      <c r="D111" s="109">
        <f>'Блок 1'!D111</f>
        <v>180</v>
      </c>
      <c r="E111" s="20">
        <f>C111*D111</f>
        <v>76104</v>
      </c>
    </row>
    <row r="112" spans="1:8" ht="15">
      <c r="A112" s="15" t="s">
        <v>37</v>
      </c>
      <c r="B112" s="6" t="s">
        <v>6</v>
      </c>
      <c r="C112" s="39">
        <f>C110</f>
        <v>422.8</v>
      </c>
      <c r="D112" s="109">
        <f>'Блок 1'!D112</f>
        <v>160</v>
      </c>
      <c r="E112" s="20">
        <f>C112*D112</f>
        <v>67648</v>
      </c>
    </row>
    <row r="113" spans="1:14" ht="15.4" thickBot="1">
      <c r="A113" s="15" t="s">
        <v>38</v>
      </c>
      <c r="B113" s="6" t="s">
        <v>6</v>
      </c>
      <c r="C113" s="39">
        <f>C110</f>
        <v>422.8</v>
      </c>
      <c r="D113" s="109">
        <f>'Блок 1'!D113</f>
        <v>500</v>
      </c>
      <c r="E113" s="232">
        <f>C113*D113</f>
        <v>211400</v>
      </c>
    </row>
    <row r="114" spans="1:14" ht="15.4" thickBot="1">
      <c r="A114" s="16" t="s">
        <v>4</v>
      </c>
      <c r="B114" s="7"/>
      <c r="C114" s="11"/>
      <c r="D114" s="228"/>
      <c r="E114" s="240">
        <f>SUM(E110:E113)</f>
        <v>566552</v>
      </c>
    </row>
    <row r="115" spans="1:14" ht="15">
      <c r="A115" s="17" t="s">
        <v>45</v>
      </c>
      <c r="B115" s="6"/>
      <c r="C115" s="39"/>
      <c r="D115" s="10"/>
      <c r="E115" s="237"/>
    </row>
    <row r="116" spans="1:14" ht="15">
      <c r="A116" s="15" t="s">
        <v>53</v>
      </c>
      <c r="B116" s="6" t="s">
        <v>6</v>
      </c>
      <c r="C116" s="39">
        <f>C110</f>
        <v>422.8</v>
      </c>
      <c r="D116" s="109">
        <f>'Блок 1'!D116</f>
        <v>1817.0426065162903</v>
      </c>
      <c r="E116" s="20">
        <f t="shared" ref="E116:E125" si="3">C116*D116</f>
        <v>768245.61403508752</v>
      </c>
      <c r="G116" s="74"/>
    </row>
    <row r="117" spans="1:14" ht="15">
      <c r="A117" s="15" t="s">
        <v>105</v>
      </c>
      <c r="B117" s="6" t="s">
        <v>6</v>
      </c>
      <c r="C117" s="39">
        <f>C110</f>
        <v>422.8</v>
      </c>
      <c r="D117" s="109">
        <f>'Блок 1'!D117</f>
        <v>0</v>
      </c>
      <c r="E117" s="20">
        <f t="shared" si="3"/>
        <v>0</v>
      </c>
      <c r="G117" s="74"/>
    </row>
    <row r="118" spans="1:14" ht="15">
      <c r="A118" s="37" t="s">
        <v>70</v>
      </c>
      <c r="B118" s="36" t="s">
        <v>46</v>
      </c>
      <c r="C118" s="39">
        <f>C110*5</f>
        <v>2114</v>
      </c>
      <c r="D118" s="109">
        <f>'Блок 1'!D118</f>
        <v>0</v>
      </c>
      <c r="E118" s="20">
        <f t="shared" si="3"/>
        <v>0</v>
      </c>
      <c r="G118" s="74"/>
    </row>
    <row r="119" spans="1:14" ht="15">
      <c r="A119" s="15" t="s">
        <v>54</v>
      </c>
      <c r="B119" s="6" t="s">
        <v>46</v>
      </c>
      <c r="C119" s="39">
        <f>C110*5</f>
        <v>2114</v>
      </c>
      <c r="D119" s="109">
        <f>'Блок 1'!D119</f>
        <v>0</v>
      </c>
      <c r="E119" s="20">
        <f t="shared" si="3"/>
        <v>0</v>
      </c>
      <c r="G119" s="74"/>
    </row>
    <row r="120" spans="1:14" ht="15">
      <c r="A120" s="15" t="s">
        <v>55</v>
      </c>
      <c r="B120" s="6" t="s">
        <v>46</v>
      </c>
      <c r="C120" s="39">
        <f>C110*5</f>
        <v>2114</v>
      </c>
      <c r="D120" s="109">
        <f>'Блок 1'!D120</f>
        <v>0</v>
      </c>
      <c r="E120" s="20">
        <f t="shared" si="3"/>
        <v>0</v>
      </c>
      <c r="G120" s="74"/>
      <c r="N120" s="90"/>
    </row>
    <row r="121" spans="1:14" ht="15">
      <c r="A121" s="15" t="s">
        <v>56</v>
      </c>
      <c r="B121" s="6" t="s">
        <v>6</v>
      </c>
      <c r="C121" s="39">
        <v>430</v>
      </c>
      <c r="D121" s="109">
        <f>'Блок 1'!D121</f>
        <v>450</v>
      </c>
      <c r="E121" s="20">
        <f t="shared" si="3"/>
        <v>193500</v>
      </c>
      <c r="G121" s="74"/>
      <c r="N121" s="90"/>
    </row>
    <row r="122" spans="1:14" ht="15">
      <c r="A122" s="15" t="s">
        <v>57</v>
      </c>
      <c r="B122" s="6" t="s">
        <v>46</v>
      </c>
      <c r="C122" s="136">
        <f>C116*0.6+6</f>
        <v>259.68</v>
      </c>
      <c r="D122" s="109">
        <f>'Блок 1'!D122</f>
        <v>200</v>
      </c>
      <c r="E122" s="20">
        <f t="shared" si="3"/>
        <v>51936</v>
      </c>
      <c r="G122" s="74"/>
    </row>
    <row r="123" spans="1:14" ht="15">
      <c r="A123" s="15" t="s">
        <v>58</v>
      </c>
      <c r="B123" s="6" t="s">
        <v>46</v>
      </c>
      <c r="C123" s="136">
        <f>C122*4</f>
        <v>1038.72</v>
      </c>
      <c r="D123" s="109">
        <f>'Блок 1'!D123</f>
        <v>0</v>
      </c>
      <c r="E123" s="20">
        <f t="shared" si="3"/>
        <v>0</v>
      </c>
      <c r="G123" s="74"/>
    </row>
    <row r="124" spans="1:14" ht="15">
      <c r="A124" s="15" t="s">
        <v>107</v>
      </c>
      <c r="B124" s="6" t="s">
        <v>59</v>
      </c>
      <c r="C124" s="39">
        <f>C110*1.05</f>
        <v>443.94000000000005</v>
      </c>
      <c r="D124" s="109">
        <f>'Блок 1'!D124</f>
        <v>0</v>
      </c>
      <c r="E124" s="20">
        <f t="shared" si="3"/>
        <v>0</v>
      </c>
      <c r="G124" s="74"/>
    </row>
    <row r="125" spans="1:14" ht="15.4" thickBot="1">
      <c r="A125" s="15" t="s">
        <v>60</v>
      </c>
      <c r="B125" s="6" t="s">
        <v>59</v>
      </c>
      <c r="C125" s="39">
        <f>C124*5*2</f>
        <v>4439.4000000000005</v>
      </c>
      <c r="D125" s="109">
        <f>'Блок 1'!D125</f>
        <v>0</v>
      </c>
      <c r="E125" s="20">
        <f t="shared" si="3"/>
        <v>0</v>
      </c>
      <c r="G125" s="74"/>
    </row>
    <row r="126" spans="1:14" ht="15.4" thickBot="1">
      <c r="A126" s="80" t="s">
        <v>47</v>
      </c>
      <c r="B126" s="81"/>
      <c r="C126" s="82"/>
      <c r="D126" s="83"/>
      <c r="E126" s="87">
        <f>SUM(E116:E125)</f>
        <v>1013681.6140350875</v>
      </c>
    </row>
    <row r="127" spans="1:14" ht="15.4" thickBot="1">
      <c r="A127" s="29" t="s">
        <v>5</v>
      </c>
      <c r="B127" s="34"/>
      <c r="C127" s="34"/>
      <c r="D127" s="70"/>
      <c r="E127" s="73">
        <f>E114+E126</f>
        <v>1580233.6140350876</v>
      </c>
    </row>
    <row r="128" spans="1:14" s="138" customFormat="1" ht="36" customHeight="1" thickBot="1">
      <c r="A128" s="186" t="s">
        <v>39</v>
      </c>
      <c r="B128" s="187"/>
      <c r="C128" s="187"/>
      <c r="D128" s="187"/>
      <c r="E128" s="188"/>
    </row>
    <row r="129" spans="1:7" ht="15">
      <c r="A129" s="47" t="s">
        <v>2</v>
      </c>
      <c r="B129" s="9"/>
      <c r="C129" s="43"/>
      <c r="D129" s="12"/>
      <c r="E129" s="21"/>
    </row>
    <row r="130" spans="1:7" ht="49.5" customHeight="1">
      <c r="A130" s="19" t="s">
        <v>103</v>
      </c>
      <c r="B130" s="9" t="s">
        <v>6</v>
      </c>
      <c r="C130" s="39">
        <f>2*48</f>
        <v>96</v>
      </c>
      <c r="D130" s="109">
        <f>'Блок 1'!D130</f>
        <v>430</v>
      </c>
      <c r="E130" s="21">
        <f>C130*D130</f>
        <v>41280</v>
      </c>
      <c r="F130" s="1"/>
    </row>
    <row r="131" spans="1:7" ht="49.5" customHeight="1" thickBot="1">
      <c r="A131" s="19" t="s">
        <v>104</v>
      </c>
      <c r="B131" s="9" t="s">
        <v>6</v>
      </c>
      <c r="C131" s="39">
        <v>76.2</v>
      </c>
      <c r="D131" s="109">
        <f>'Блок 1'!D131</f>
        <v>470</v>
      </c>
      <c r="E131" s="234">
        <f>C131*D131</f>
        <v>35814</v>
      </c>
      <c r="F131" s="1"/>
    </row>
    <row r="132" spans="1:7" ht="15.4" thickBot="1">
      <c r="A132" s="16" t="s">
        <v>4</v>
      </c>
      <c r="B132" s="7"/>
      <c r="C132" s="11"/>
      <c r="D132" s="228"/>
      <c r="E132" s="240">
        <f>E131+E130</f>
        <v>77094</v>
      </c>
      <c r="F132" s="1"/>
    </row>
    <row r="133" spans="1:7" ht="15">
      <c r="A133" s="17" t="s">
        <v>45</v>
      </c>
      <c r="B133" s="6"/>
      <c r="C133" s="39"/>
      <c r="D133" s="10"/>
      <c r="E133" s="237"/>
    </row>
    <row r="134" spans="1:7" ht="30">
      <c r="A134" s="96" t="s">
        <v>64</v>
      </c>
      <c r="B134" s="97" t="s">
        <v>3</v>
      </c>
      <c r="C134" s="94">
        <f>C131+C130</f>
        <v>172.2</v>
      </c>
      <c r="D134" s="109">
        <f>'Блок 1'!D134</f>
        <v>0</v>
      </c>
      <c r="E134" s="20">
        <f>C134*D134</f>
        <v>0</v>
      </c>
      <c r="G134" s="74"/>
    </row>
    <row r="135" spans="1:7" ht="15.4" thickBot="1">
      <c r="A135" s="76" t="s">
        <v>65</v>
      </c>
      <c r="B135" s="93" t="s">
        <v>66</v>
      </c>
      <c r="C135" s="94">
        <v>1</v>
      </c>
      <c r="D135" s="109">
        <f>'Блок 1'!D135</f>
        <v>0</v>
      </c>
      <c r="E135" s="20">
        <f>C135*D135</f>
        <v>0</v>
      </c>
      <c r="G135" s="74"/>
    </row>
    <row r="136" spans="1:7" ht="15.4" thickBot="1">
      <c r="A136" s="80" t="s">
        <v>47</v>
      </c>
      <c r="B136" s="81"/>
      <c r="C136" s="82"/>
      <c r="D136" s="83"/>
      <c r="E136" s="87">
        <f>SUM(E134:E135)</f>
        <v>0</v>
      </c>
    </row>
    <row r="137" spans="1:7" ht="15.4" thickBot="1">
      <c r="A137" s="48" t="s">
        <v>5</v>
      </c>
      <c r="B137" s="23"/>
      <c r="C137" s="23"/>
      <c r="D137" s="98"/>
      <c r="E137" s="73">
        <f>E132+E136</f>
        <v>77094</v>
      </c>
    </row>
    <row r="138" spans="1:7" s="138" customFormat="1" ht="36" customHeight="1" thickBot="1">
      <c r="A138" s="186" t="s">
        <v>22</v>
      </c>
      <c r="B138" s="187"/>
      <c r="C138" s="187"/>
      <c r="D138" s="187"/>
      <c r="E138" s="188"/>
    </row>
    <row r="139" spans="1:7" ht="15">
      <c r="A139" s="17" t="s">
        <v>2</v>
      </c>
      <c r="B139" s="6"/>
      <c r="C139" s="42"/>
      <c r="D139" s="10"/>
      <c r="E139" s="20"/>
      <c r="F139" s="1"/>
    </row>
    <row r="140" spans="1:7" ht="15.4" thickBot="1">
      <c r="A140" s="15" t="s">
        <v>71</v>
      </c>
      <c r="B140" s="6" t="s">
        <v>6</v>
      </c>
      <c r="C140" s="39">
        <f>(C131+C130)*2</f>
        <v>344.4</v>
      </c>
      <c r="D140" s="109">
        <f>'Блок 1'!D140</f>
        <v>80</v>
      </c>
      <c r="E140" s="232">
        <f>C140*D140</f>
        <v>27552</v>
      </c>
      <c r="F140" s="1"/>
    </row>
    <row r="141" spans="1:7" ht="15.4" thickBot="1">
      <c r="A141" s="16" t="s">
        <v>4</v>
      </c>
      <c r="B141" s="7"/>
      <c r="C141" s="11"/>
      <c r="D141" s="228"/>
      <c r="E141" s="240">
        <f>E140</f>
        <v>27552</v>
      </c>
      <c r="F141" s="1"/>
    </row>
    <row r="142" spans="1:7" ht="15">
      <c r="A142" s="76" t="s">
        <v>67</v>
      </c>
      <c r="B142" s="93" t="s">
        <v>6</v>
      </c>
      <c r="C142" s="94">
        <f>(C131+C130)</f>
        <v>172.2</v>
      </c>
      <c r="D142" s="109">
        <f>'Блок 1'!D142</f>
        <v>0</v>
      </c>
      <c r="E142" s="237">
        <f>C142*D142</f>
        <v>0</v>
      </c>
      <c r="G142" s="74"/>
    </row>
    <row r="143" spans="1:7" ht="15">
      <c r="A143" s="76" t="s">
        <v>68</v>
      </c>
      <c r="B143" s="93" t="s">
        <v>6</v>
      </c>
      <c r="C143" s="94">
        <f>C142</f>
        <v>172.2</v>
      </c>
      <c r="D143" s="109">
        <f>'Блок 1'!D143</f>
        <v>0</v>
      </c>
      <c r="E143" s="20">
        <f>C143*D143</f>
        <v>0</v>
      </c>
      <c r="G143" s="74"/>
    </row>
    <row r="144" spans="1:7" ht="15">
      <c r="A144" s="37" t="s">
        <v>70</v>
      </c>
      <c r="B144" s="36" t="s">
        <v>46</v>
      </c>
      <c r="C144" s="39">
        <f>C134*5*2</f>
        <v>1722</v>
      </c>
      <c r="D144" s="109">
        <f>'Блок 1'!D144</f>
        <v>0</v>
      </c>
      <c r="E144" s="20">
        <f>C144*D144</f>
        <v>0</v>
      </c>
      <c r="G144" s="74"/>
    </row>
    <row r="145" spans="1:7" ht="15.4" thickBot="1">
      <c r="A145" s="76" t="s">
        <v>69</v>
      </c>
      <c r="B145" s="93" t="s">
        <v>46</v>
      </c>
      <c r="C145" s="137">
        <f>C143/4</f>
        <v>43.05</v>
      </c>
      <c r="D145" s="109">
        <f>'Блок 1'!D145</f>
        <v>0</v>
      </c>
      <c r="E145" s="20">
        <f>C145*D145</f>
        <v>0</v>
      </c>
      <c r="G145" s="74"/>
    </row>
    <row r="146" spans="1:7" ht="15.4" thickBot="1">
      <c r="A146" s="80" t="s">
        <v>47</v>
      </c>
      <c r="B146" s="81"/>
      <c r="C146" s="82"/>
      <c r="D146" s="83"/>
      <c r="E146" s="87">
        <f>SUM(E142:E145)</f>
        <v>0</v>
      </c>
    </row>
    <row r="147" spans="1:7" ht="15.4" thickBot="1">
      <c r="A147" s="48" t="s">
        <v>5</v>
      </c>
      <c r="B147" s="23"/>
      <c r="C147" s="24"/>
      <c r="D147" s="71"/>
      <c r="E147" s="73">
        <f>E141+E146</f>
        <v>27552</v>
      </c>
      <c r="F147" s="1"/>
    </row>
    <row r="148" spans="1:7" s="138" customFormat="1" ht="36" customHeight="1" thickBot="1">
      <c r="A148" s="186" t="s">
        <v>128</v>
      </c>
      <c r="B148" s="187"/>
      <c r="C148" s="187"/>
      <c r="D148" s="187"/>
      <c r="E148" s="188"/>
    </row>
    <row r="149" spans="1:7" s="143" customFormat="1" ht="13.9">
      <c r="A149" s="139" t="s">
        <v>108</v>
      </c>
      <c r="B149" s="140"/>
      <c r="C149" s="140"/>
      <c r="D149" s="141"/>
      <c r="E149" s="142"/>
    </row>
    <row r="150" spans="1:7" s="143" customFormat="1" ht="30.4" thickBot="1">
      <c r="A150" s="148" t="s">
        <v>130</v>
      </c>
      <c r="B150" s="156" t="s">
        <v>129</v>
      </c>
      <c r="C150" s="157">
        <v>18</v>
      </c>
      <c r="D150" s="109">
        <f>'Блок 1'!D150</f>
        <v>3360</v>
      </c>
      <c r="E150" s="172">
        <f>C150*D150</f>
        <v>60480</v>
      </c>
      <c r="G150" s="138"/>
    </row>
    <row r="151" spans="1:7" s="143" customFormat="1" ht="15.4" thickBot="1">
      <c r="A151" s="149" t="s">
        <v>110</v>
      </c>
      <c r="B151" s="150"/>
      <c r="C151" s="150"/>
      <c r="D151" s="227"/>
      <c r="E151" s="241">
        <f>E150</f>
        <v>60480</v>
      </c>
    </row>
    <row r="152" spans="1:7" ht="15">
      <c r="A152" s="17" t="s">
        <v>45</v>
      </c>
      <c r="B152" s="6"/>
      <c r="C152" s="75"/>
      <c r="D152" s="129"/>
      <c r="E152" s="238"/>
    </row>
    <row r="153" spans="1:7" s="135" customFormat="1" ht="30">
      <c r="A153" s="19" t="s">
        <v>131</v>
      </c>
      <c r="B153" s="9" t="s">
        <v>61</v>
      </c>
      <c r="C153" s="43">
        <f>(1.2*0.6*0.1*1.05*(C150))</f>
        <v>1.3608</v>
      </c>
      <c r="D153" s="109">
        <f>'Блок 1'!D153</f>
        <v>0</v>
      </c>
      <c r="E153" s="160">
        <f t="shared" ref="E153:E160" si="4">C153*D153</f>
        <v>0</v>
      </c>
      <c r="F153"/>
    </row>
    <row r="154" spans="1:7" ht="16.5" customHeight="1">
      <c r="A154" s="15" t="s">
        <v>132</v>
      </c>
      <c r="B154" s="6" t="s">
        <v>3</v>
      </c>
      <c r="C154" s="6">
        <f>C150*1</f>
        <v>18</v>
      </c>
      <c r="D154" s="109">
        <f>'Блок 1'!D154</f>
        <v>0</v>
      </c>
      <c r="E154" s="160">
        <f t="shared" si="4"/>
        <v>0</v>
      </c>
    </row>
    <row r="155" spans="1:7" ht="16.5" customHeight="1">
      <c r="A155" s="15" t="s">
        <v>133</v>
      </c>
      <c r="B155" s="6" t="s">
        <v>3</v>
      </c>
      <c r="C155" s="6">
        <f>0.2*C150*8</f>
        <v>28.8</v>
      </c>
      <c r="D155" s="109">
        <f>'Блок 1'!D155</f>
        <v>0</v>
      </c>
      <c r="E155" s="160">
        <f t="shared" si="4"/>
        <v>0</v>
      </c>
    </row>
    <row r="156" spans="1:7" ht="16.5" customHeight="1">
      <c r="A156" s="15" t="s">
        <v>134</v>
      </c>
      <c r="B156" s="6" t="s">
        <v>46</v>
      </c>
      <c r="C156" s="6">
        <f>20*C150</f>
        <v>360</v>
      </c>
      <c r="D156" s="109">
        <f>'Блок 1'!D156</f>
        <v>0</v>
      </c>
      <c r="E156" s="160">
        <f t="shared" si="4"/>
        <v>0</v>
      </c>
    </row>
    <row r="157" spans="1:7" ht="16.5" customHeight="1">
      <c r="A157" s="15" t="s">
        <v>135</v>
      </c>
      <c r="B157" s="6" t="s">
        <v>139</v>
      </c>
      <c r="C157" s="6">
        <f>(1+1+0.4)*(C150)</f>
        <v>43.199999999999996</v>
      </c>
      <c r="D157" s="109">
        <f>'Блок 1'!D157</f>
        <v>0</v>
      </c>
      <c r="E157" s="160">
        <f t="shared" si="4"/>
        <v>0</v>
      </c>
    </row>
    <row r="158" spans="1:7" ht="16.5" customHeight="1">
      <c r="A158" s="15" t="s">
        <v>136</v>
      </c>
      <c r="B158" s="6" t="s">
        <v>46</v>
      </c>
      <c r="C158" s="9">
        <f>20*C150</f>
        <v>360</v>
      </c>
      <c r="D158" s="109">
        <f>'Блок 1'!D158</f>
        <v>0</v>
      </c>
      <c r="E158" s="160">
        <f t="shared" si="4"/>
        <v>0</v>
      </c>
    </row>
    <row r="159" spans="1:7" ht="16.5" customHeight="1">
      <c r="A159" s="15" t="s">
        <v>137</v>
      </c>
      <c r="B159" s="6" t="s">
        <v>46</v>
      </c>
      <c r="C159" s="9">
        <f>C158</f>
        <v>360</v>
      </c>
      <c r="D159" s="109">
        <f>'Блок 1'!D159</f>
        <v>0</v>
      </c>
      <c r="E159" s="160">
        <f t="shared" si="4"/>
        <v>0</v>
      </c>
    </row>
    <row r="160" spans="1:7" ht="16.5" customHeight="1" thickBot="1">
      <c r="A160" s="15" t="s">
        <v>138</v>
      </c>
      <c r="B160" s="6" t="s">
        <v>46</v>
      </c>
      <c r="C160" s="161">
        <f>C157/4</f>
        <v>10.799999999999999</v>
      </c>
      <c r="D160" s="109">
        <f>'Блок 1'!D160</f>
        <v>0</v>
      </c>
      <c r="E160" s="173">
        <f t="shared" si="4"/>
        <v>0</v>
      </c>
    </row>
    <row r="161" spans="1:6" ht="18.75" customHeight="1" thickBot="1">
      <c r="A161" s="80" t="s">
        <v>47</v>
      </c>
      <c r="B161" s="81"/>
      <c r="C161" s="82"/>
      <c r="D161" s="167"/>
      <c r="E161" s="169">
        <f>SUM(E153:E160)</f>
        <v>0</v>
      </c>
    </row>
    <row r="162" spans="1:6" s="143" customFormat="1" ht="15.4" thickBot="1">
      <c r="A162" s="154" t="s">
        <v>113</v>
      </c>
      <c r="B162" s="155"/>
      <c r="C162" s="155"/>
      <c r="D162" s="170"/>
      <c r="E162" s="176">
        <f>E151+E161</f>
        <v>60480</v>
      </c>
    </row>
    <row r="163" spans="1:6" s="138" customFormat="1" ht="36" customHeight="1" thickBot="1">
      <c r="A163" s="186" t="s">
        <v>165</v>
      </c>
      <c r="B163" s="187"/>
      <c r="C163" s="187"/>
      <c r="D163" s="187"/>
      <c r="E163" s="188"/>
    </row>
    <row r="164" spans="1:6" ht="15">
      <c r="A164" s="139" t="s">
        <v>108</v>
      </c>
      <c r="B164" s="140"/>
      <c r="C164" s="140"/>
      <c r="D164" s="141"/>
      <c r="E164" s="142"/>
      <c r="F164" s="1"/>
    </row>
    <row r="165" spans="1:6" ht="15">
      <c r="A165" s="148" t="s">
        <v>166</v>
      </c>
      <c r="B165" s="6" t="s">
        <v>129</v>
      </c>
      <c r="C165" s="162">
        <v>14</v>
      </c>
      <c r="D165" s="109">
        <f>'Блок 1'!D165</f>
        <v>4000</v>
      </c>
      <c r="E165" s="159">
        <f>C165*D165</f>
        <v>56000</v>
      </c>
      <c r="F165" s="1"/>
    </row>
    <row r="166" spans="1:6" ht="15">
      <c r="A166" s="144" t="s">
        <v>140</v>
      </c>
      <c r="B166" s="6" t="s">
        <v>129</v>
      </c>
      <c r="C166" s="162">
        <f>C165</f>
        <v>14</v>
      </c>
      <c r="D166" s="109">
        <f>'Блок 1'!D166</f>
        <v>3600</v>
      </c>
      <c r="E166" s="159">
        <f>C166*D166</f>
        <v>50400</v>
      </c>
      <c r="F166" s="1"/>
    </row>
    <row r="167" spans="1:6" ht="30.4" thickBot="1">
      <c r="A167" s="148" t="s">
        <v>142</v>
      </c>
      <c r="B167" s="145" t="s">
        <v>109</v>
      </c>
      <c r="C167" s="153">
        <v>1.2</v>
      </c>
      <c r="D167" s="109" t="str">
        <f>'Блок 1'!D167</f>
        <v>170,00 ₽</v>
      </c>
      <c r="E167" s="233">
        <f>D167*C167</f>
        <v>204</v>
      </c>
      <c r="F167" s="1"/>
    </row>
    <row r="168" spans="1:6" ht="15.4" thickBot="1">
      <c r="A168" s="149" t="s">
        <v>110</v>
      </c>
      <c r="B168" s="150"/>
      <c r="C168" s="150"/>
      <c r="D168" s="227"/>
      <c r="E168" s="241">
        <f>SUM(E165:E167)</f>
        <v>106604</v>
      </c>
      <c r="F168" s="1"/>
    </row>
    <row r="169" spans="1:6" ht="15">
      <c r="A169" s="17" t="s">
        <v>45</v>
      </c>
      <c r="B169" s="6"/>
      <c r="C169" s="75"/>
      <c r="D169" s="129"/>
      <c r="E169" s="238"/>
      <c r="F169" s="1"/>
    </row>
    <row r="170" spans="1:6" ht="15">
      <c r="A170" s="15" t="s">
        <v>132</v>
      </c>
      <c r="B170" s="6" t="s">
        <v>3</v>
      </c>
      <c r="C170" s="6">
        <f>4.4*C166</f>
        <v>61.600000000000009</v>
      </c>
      <c r="D170" s="109">
        <f>'Блок 1'!D170</f>
        <v>0</v>
      </c>
      <c r="E170" s="130">
        <f>C170*D170</f>
        <v>0</v>
      </c>
      <c r="F170" s="1"/>
    </row>
    <row r="171" spans="1:6" ht="15">
      <c r="A171" s="15" t="s">
        <v>133</v>
      </c>
      <c r="B171" s="6" t="s">
        <v>3</v>
      </c>
      <c r="C171" s="6">
        <f>0.2*C170*4</f>
        <v>49.280000000000008</v>
      </c>
      <c r="D171" s="109">
        <f>'Блок 1'!D171</f>
        <v>0</v>
      </c>
      <c r="E171" s="130">
        <f>C171*D171</f>
        <v>0</v>
      </c>
      <c r="F171" s="1"/>
    </row>
    <row r="172" spans="1:6" ht="15">
      <c r="A172" s="15" t="s">
        <v>134</v>
      </c>
      <c r="B172" s="6" t="s">
        <v>46</v>
      </c>
      <c r="C172" s="6">
        <f>4*4*C166</f>
        <v>224</v>
      </c>
      <c r="D172" s="109">
        <f>'Блок 1'!D172</f>
        <v>0</v>
      </c>
      <c r="E172" s="130">
        <f>C172*D172</f>
        <v>0</v>
      </c>
      <c r="F172" s="1"/>
    </row>
    <row r="173" spans="1:6" ht="15">
      <c r="A173" s="76" t="s">
        <v>67</v>
      </c>
      <c r="B173" s="93" t="s">
        <v>6</v>
      </c>
      <c r="C173" s="94">
        <f>4*C166</f>
        <v>56</v>
      </c>
      <c r="D173" s="109">
        <f>'Блок 1'!D173</f>
        <v>0</v>
      </c>
      <c r="E173" s="130">
        <f>C173*D173</f>
        <v>0</v>
      </c>
      <c r="F173" s="1"/>
    </row>
    <row r="174" spans="1:6" ht="14.25" customHeight="1">
      <c r="A174" s="15" t="s">
        <v>135</v>
      </c>
      <c r="B174" s="6" t="s">
        <v>139</v>
      </c>
      <c r="C174" s="6">
        <f>4*C166</f>
        <v>56</v>
      </c>
      <c r="D174" s="109">
        <f>'Блок 1'!D174</f>
        <v>0</v>
      </c>
      <c r="E174" s="130">
        <f>C174*D174</f>
        <v>0</v>
      </c>
      <c r="F174" s="1"/>
    </row>
    <row r="175" spans="1:6" ht="15">
      <c r="A175" s="15" t="s">
        <v>138</v>
      </c>
      <c r="B175" s="6" t="s">
        <v>46</v>
      </c>
      <c r="C175" s="6">
        <f>C174/4</f>
        <v>14</v>
      </c>
      <c r="D175" s="109">
        <f>'Блок 1'!D175</f>
        <v>0</v>
      </c>
      <c r="E175" s="130">
        <f>C175*D175</f>
        <v>0</v>
      </c>
      <c r="F175" s="1"/>
    </row>
    <row r="176" spans="1:6" ht="15">
      <c r="A176" s="15" t="s">
        <v>115</v>
      </c>
      <c r="B176" s="6" t="s">
        <v>3</v>
      </c>
      <c r="C176" s="6">
        <v>0.29160000000000003</v>
      </c>
      <c r="D176" s="109">
        <f>'Блок 1'!D176</f>
        <v>0</v>
      </c>
      <c r="E176" s="130">
        <f t="shared" ref="E176:E178" si="5">C176*D176</f>
        <v>0</v>
      </c>
      <c r="F176" s="1"/>
    </row>
    <row r="177" spans="1:6" ht="15">
      <c r="A177" s="15" t="s">
        <v>94</v>
      </c>
      <c r="B177" s="6" t="s">
        <v>46</v>
      </c>
      <c r="C177" s="6">
        <v>42</v>
      </c>
      <c r="D177" s="109">
        <f>'Блок 1'!D177</f>
        <v>0</v>
      </c>
      <c r="E177" s="130">
        <f t="shared" si="5"/>
        <v>0</v>
      </c>
      <c r="F177" s="1"/>
    </row>
    <row r="178" spans="1:6" ht="15.4" thickBot="1">
      <c r="A178" s="15" t="s">
        <v>143</v>
      </c>
      <c r="B178" s="6" t="s">
        <v>46</v>
      </c>
      <c r="C178" s="6">
        <v>42</v>
      </c>
      <c r="D178" s="109">
        <f>'Блок 1'!D178</f>
        <v>0</v>
      </c>
      <c r="E178" s="130">
        <f t="shared" si="5"/>
        <v>0</v>
      </c>
      <c r="F178" s="1"/>
    </row>
    <row r="179" spans="1:6" ht="15.4" thickBot="1">
      <c r="A179" s="80" t="s">
        <v>47</v>
      </c>
      <c r="B179" s="81"/>
      <c r="C179" s="82"/>
      <c r="D179" s="167"/>
      <c r="E179" s="169">
        <f>SUM(E170:E178)</f>
        <v>0</v>
      </c>
      <c r="F179" s="1"/>
    </row>
    <row r="180" spans="1:6" ht="15.4" thickBot="1">
      <c r="A180" s="164" t="s">
        <v>113</v>
      </c>
      <c r="B180" s="165"/>
      <c r="C180" s="165"/>
      <c r="D180" s="175"/>
      <c r="E180" s="176">
        <f>E168+E179</f>
        <v>106604</v>
      </c>
      <c r="F180" s="1"/>
    </row>
    <row r="181" spans="1:6" s="138" customFormat="1" ht="36" customHeight="1" thickBot="1">
      <c r="A181" s="186" t="s">
        <v>144</v>
      </c>
      <c r="B181" s="187"/>
      <c r="C181" s="187"/>
      <c r="D181" s="187"/>
      <c r="E181" s="188"/>
    </row>
    <row r="182" spans="1:6" s="143" customFormat="1" ht="13.9">
      <c r="A182" s="139" t="s">
        <v>108</v>
      </c>
      <c r="B182" s="140"/>
      <c r="C182" s="140"/>
      <c r="D182" s="141"/>
      <c r="E182" s="142"/>
    </row>
    <row r="183" spans="1:6" ht="45.4" thickBot="1">
      <c r="A183" s="148" t="s">
        <v>145</v>
      </c>
      <c r="B183" s="6" t="s">
        <v>109</v>
      </c>
      <c r="C183" s="162">
        <v>371</v>
      </c>
      <c r="D183" s="109">
        <f>'Блок 1'!D183</f>
        <v>400</v>
      </c>
      <c r="E183" s="172">
        <f>C183*D183</f>
        <v>148400</v>
      </c>
      <c r="F183" s="1"/>
    </row>
    <row r="184" spans="1:6" s="143" customFormat="1" ht="15.4" thickBot="1">
      <c r="A184" s="149" t="s">
        <v>110</v>
      </c>
      <c r="B184" s="150"/>
      <c r="C184" s="150"/>
      <c r="D184" s="227"/>
      <c r="E184" s="241">
        <f>SUM(E183)</f>
        <v>148400</v>
      </c>
    </row>
    <row r="185" spans="1:6" ht="15">
      <c r="A185" s="17" t="s">
        <v>45</v>
      </c>
      <c r="B185" s="6"/>
      <c r="C185" s="75"/>
      <c r="D185" s="129"/>
      <c r="E185" s="238"/>
    </row>
    <row r="186" spans="1:6" ht="15">
      <c r="A186" s="19" t="s">
        <v>146</v>
      </c>
      <c r="B186" s="9" t="s">
        <v>3</v>
      </c>
      <c r="C186" s="43">
        <f>C183</f>
        <v>371</v>
      </c>
      <c r="D186" s="109">
        <f>'Блок 1'!D186</f>
        <v>0</v>
      </c>
      <c r="E186" s="130">
        <f>C186*D186</f>
        <v>0</v>
      </c>
    </row>
    <row r="187" spans="1:6" ht="16.5" customHeight="1" thickBot="1">
      <c r="A187" s="15" t="s">
        <v>147</v>
      </c>
      <c r="B187" s="6" t="s">
        <v>46</v>
      </c>
      <c r="C187" s="6">
        <v>4</v>
      </c>
      <c r="D187" s="109">
        <f>'Блок 1'!D187</f>
        <v>0</v>
      </c>
      <c r="E187" s="174">
        <f>C187*D187</f>
        <v>0</v>
      </c>
    </row>
    <row r="188" spans="1:6" ht="18.75" customHeight="1" thickBot="1">
      <c r="A188" s="80" t="s">
        <v>47</v>
      </c>
      <c r="B188" s="81"/>
      <c r="C188" s="82"/>
      <c r="D188" s="167"/>
      <c r="E188" s="169">
        <f>SUM(E186:E187)</f>
        <v>0</v>
      </c>
    </row>
    <row r="189" spans="1:6" s="143" customFormat="1" ht="15.4" thickBot="1">
      <c r="A189" s="154" t="s">
        <v>113</v>
      </c>
      <c r="B189" s="155"/>
      <c r="C189" s="155"/>
      <c r="D189" s="170"/>
      <c r="E189" s="176">
        <f>E184+E188</f>
        <v>148400</v>
      </c>
    </row>
    <row r="190" spans="1:6" s="138" customFormat="1" ht="36" customHeight="1" thickBot="1">
      <c r="A190" s="186" t="s">
        <v>148</v>
      </c>
      <c r="B190" s="187"/>
      <c r="C190" s="187"/>
      <c r="D190" s="187"/>
      <c r="E190" s="188"/>
    </row>
    <row r="191" spans="1:6" ht="15">
      <c r="A191" s="139" t="s">
        <v>108</v>
      </c>
      <c r="B191" s="140"/>
      <c r="C191" s="140"/>
      <c r="D191" s="141"/>
      <c r="E191" s="142"/>
      <c r="F191" s="1"/>
    </row>
    <row r="192" spans="1:6" ht="15.4" thickBot="1">
      <c r="A192" s="148" t="s">
        <v>148</v>
      </c>
      <c r="B192" s="156" t="s">
        <v>129</v>
      </c>
      <c r="C192" s="162">
        <v>5</v>
      </c>
      <c r="D192" s="109">
        <f>'Блок 1'!D192</f>
        <v>3600</v>
      </c>
      <c r="E192" s="172">
        <f>C192*D192</f>
        <v>18000</v>
      </c>
      <c r="F192" s="1"/>
    </row>
    <row r="193" spans="1:6" ht="15.4" thickBot="1">
      <c r="A193" s="149" t="s">
        <v>110</v>
      </c>
      <c r="B193" s="150"/>
      <c r="C193" s="150"/>
      <c r="D193" s="227"/>
      <c r="E193" s="241">
        <f>SUM(E192)</f>
        <v>18000</v>
      </c>
      <c r="F193" s="1"/>
    </row>
    <row r="194" spans="1:6" ht="15">
      <c r="A194" s="17" t="s">
        <v>45</v>
      </c>
      <c r="B194" s="6"/>
      <c r="C194" s="75"/>
      <c r="D194" s="129"/>
      <c r="E194" s="238"/>
      <c r="F194" s="1"/>
    </row>
    <row r="195" spans="1:6" ht="15">
      <c r="A195" s="15" t="s">
        <v>132</v>
      </c>
      <c r="B195" s="6" t="s">
        <v>3</v>
      </c>
      <c r="C195" s="6">
        <f>7.2</f>
        <v>7.2</v>
      </c>
      <c r="D195" s="109">
        <f>'Блок 1'!D195</f>
        <v>0</v>
      </c>
      <c r="E195" s="160">
        <f t="shared" ref="E195:E200" si="6">C195*D195</f>
        <v>0</v>
      </c>
      <c r="F195" s="1"/>
    </row>
    <row r="196" spans="1:6" ht="15">
      <c r="A196" s="15" t="s">
        <v>133</v>
      </c>
      <c r="B196" s="6" t="s">
        <v>3</v>
      </c>
      <c r="C196" s="6">
        <f>0.2*C192*4</f>
        <v>4</v>
      </c>
      <c r="D196" s="109">
        <f>'Блок 1'!D196</f>
        <v>0</v>
      </c>
      <c r="E196" s="160">
        <f t="shared" si="6"/>
        <v>0</v>
      </c>
      <c r="F196" s="1"/>
    </row>
    <row r="197" spans="1:6" ht="18.75" customHeight="1">
      <c r="A197" s="15" t="s">
        <v>135</v>
      </c>
      <c r="B197" s="6" t="s">
        <v>139</v>
      </c>
      <c r="C197" s="6">
        <f>7.2</f>
        <v>7.2</v>
      </c>
      <c r="D197" s="109">
        <f>'Блок 1'!D197</f>
        <v>0</v>
      </c>
      <c r="E197" s="160">
        <f t="shared" si="6"/>
        <v>0</v>
      </c>
    </row>
    <row r="198" spans="1:6" ht="18.75" customHeight="1">
      <c r="A198" s="76" t="s">
        <v>67</v>
      </c>
      <c r="B198" s="93" t="s">
        <v>6</v>
      </c>
      <c r="C198" s="6">
        <f>C197</f>
        <v>7.2</v>
      </c>
      <c r="D198" s="109">
        <f>'Блок 1'!D198</f>
        <v>0</v>
      </c>
      <c r="E198" s="160">
        <f t="shared" si="6"/>
        <v>0</v>
      </c>
    </row>
    <row r="199" spans="1:6" ht="15">
      <c r="A199" s="15" t="s">
        <v>137</v>
      </c>
      <c r="B199" s="6" t="s">
        <v>46</v>
      </c>
      <c r="C199" s="6">
        <f>C197*5*2</f>
        <v>72</v>
      </c>
      <c r="D199" s="109">
        <f>'Блок 1'!D199</f>
        <v>0</v>
      </c>
      <c r="E199" s="160">
        <f t="shared" si="6"/>
        <v>0</v>
      </c>
    </row>
    <row r="200" spans="1:6" ht="15.4" thickBot="1">
      <c r="A200" s="15" t="s">
        <v>138</v>
      </c>
      <c r="B200" s="6" t="s">
        <v>46</v>
      </c>
      <c r="C200" s="161">
        <f>7.2/4</f>
        <v>1.8</v>
      </c>
      <c r="D200" s="109">
        <f>'Блок 1'!D200</f>
        <v>0</v>
      </c>
      <c r="E200" s="173">
        <f t="shared" si="6"/>
        <v>0</v>
      </c>
    </row>
    <row r="201" spans="1:6" ht="15.4" thickBot="1">
      <c r="A201" s="80" t="s">
        <v>47</v>
      </c>
      <c r="B201" s="81"/>
      <c r="C201" s="82"/>
      <c r="D201" s="167"/>
      <c r="E201" s="169">
        <f>SUM(E195:E200)</f>
        <v>0</v>
      </c>
    </row>
    <row r="202" spans="1:6" ht="15.4" thickBot="1">
      <c r="A202" s="154" t="s">
        <v>113</v>
      </c>
      <c r="B202" s="155"/>
      <c r="C202" s="155"/>
      <c r="D202" s="170"/>
      <c r="E202" s="176">
        <f>E193+E201</f>
        <v>18000</v>
      </c>
    </row>
    <row r="203" spans="1:6" s="138" customFormat="1" ht="36" customHeight="1" thickBot="1">
      <c r="A203" s="186" t="s">
        <v>149</v>
      </c>
      <c r="B203" s="187"/>
      <c r="C203" s="187"/>
      <c r="D203" s="187"/>
      <c r="E203" s="188"/>
    </row>
    <row r="204" spans="1:6" s="143" customFormat="1" ht="13.9">
      <c r="A204" s="139" t="s">
        <v>108</v>
      </c>
      <c r="B204" s="140"/>
      <c r="C204" s="140"/>
      <c r="D204" s="141"/>
      <c r="E204" s="142"/>
    </row>
    <row r="205" spans="1:6" s="143" customFormat="1" ht="15">
      <c r="A205" s="15" t="s">
        <v>150</v>
      </c>
      <c r="B205" s="6" t="s">
        <v>46</v>
      </c>
      <c r="C205" s="39">
        <v>3</v>
      </c>
      <c r="D205" s="109">
        <f>'Блок 1'!D205</f>
        <v>2000</v>
      </c>
      <c r="E205" s="163">
        <f>C205*D205</f>
        <v>6000</v>
      </c>
    </row>
    <row r="206" spans="1:6" s="143" customFormat="1" ht="15">
      <c r="A206" s="15" t="s">
        <v>151</v>
      </c>
      <c r="B206" s="6" t="s">
        <v>46</v>
      </c>
      <c r="C206" s="39">
        <v>40</v>
      </c>
      <c r="D206" s="109">
        <f>'Блок 1'!D206</f>
        <v>2000</v>
      </c>
      <c r="E206" s="163">
        <f>C206*D206</f>
        <v>80000</v>
      </c>
    </row>
    <row r="207" spans="1:6" s="143" customFormat="1" ht="15.4" thickBot="1">
      <c r="A207" s="15" t="s">
        <v>154</v>
      </c>
      <c r="B207" s="6" t="s">
        <v>155</v>
      </c>
      <c r="C207" s="39">
        <v>325</v>
      </c>
      <c r="D207" s="109">
        <f>'Блок 1'!D207</f>
        <v>120</v>
      </c>
      <c r="E207" s="168">
        <f>C207*D207</f>
        <v>39000</v>
      </c>
    </row>
    <row r="208" spans="1:6" s="143" customFormat="1" ht="15.4" thickBot="1">
      <c r="A208" s="149" t="s">
        <v>110</v>
      </c>
      <c r="B208" s="150"/>
      <c r="C208" s="150"/>
      <c r="D208" s="227"/>
      <c r="E208" s="241">
        <f>E205+E206+E207</f>
        <v>125000</v>
      </c>
    </row>
    <row r="209" spans="1:5" ht="15">
      <c r="A209" s="17" t="s">
        <v>45</v>
      </c>
      <c r="B209" s="6"/>
      <c r="C209" s="75"/>
      <c r="D209" s="129"/>
      <c r="E209" s="238"/>
    </row>
    <row r="210" spans="1:5" s="143" customFormat="1" ht="15">
      <c r="A210" s="144" t="s">
        <v>152</v>
      </c>
      <c r="B210" s="156" t="s">
        <v>46</v>
      </c>
      <c r="C210" s="162">
        <f>C205</f>
        <v>3</v>
      </c>
      <c r="D210" s="109">
        <f>'Блок 1'!D210</f>
        <v>0</v>
      </c>
      <c r="E210" s="159">
        <f>D210*C210</f>
        <v>0</v>
      </c>
    </row>
    <row r="211" spans="1:5" s="143" customFormat="1" ht="15">
      <c r="A211" s="144" t="s">
        <v>152</v>
      </c>
      <c r="B211" s="156" t="s">
        <v>46</v>
      </c>
      <c r="C211" s="162">
        <f>C206</f>
        <v>40</v>
      </c>
      <c r="D211" s="109">
        <f>'Блок 1'!D211</f>
        <v>0</v>
      </c>
      <c r="E211" s="159">
        <f>D211*C211</f>
        <v>0</v>
      </c>
    </row>
    <row r="212" spans="1:5" s="143" customFormat="1" ht="15">
      <c r="A212" s="144" t="s">
        <v>138</v>
      </c>
      <c r="B212" s="156" t="s">
        <v>46</v>
      </c>
      <c r="C212" s="162">
        <v>1</v>
      </c>
      <c r="D212" s="109">
        <f>'Блок 1'!D212</f>
        <v>0</v>
      </c>
      <c r="E212" s="159">
        <f>D212*C212</f>
        <v>0</v>
      </c>
    </row>
    <row r="213" spans="1:5" s="143" customFormat="1" ht="15">
      <c r="A213" s="144" t="s">
        <v>156</v>
      </c>
      <c r="B213" s="6" t="s">
        <v>155</v>
      </c>
      <c r="C213" s="162">
        <f>C207*1.1</f>
        <v>357.50000000000006</v>
      </c>
      <c r="D213" s="109">
        <f>'Блок 1'!D213</f>
        <v>800</v>
      </c>
      <c r="E213" s="159">
        <f>D213*C213</f>
        <v>286000.00000000006</v>
      </c>
    </row>
    <row r="214" spans="1:5" s="143" customFormat="1" ht="15.4" thickBot="1">
      <c r="A214" s="144" t="s">
        <v>153</v>
      </c>
      <c r="B214" s="156" t="s">
        <v>46</v>
      </c>
      <c r="C214" s="162">
        <v>2</v>
      </c>
      <c r="D214" s="109">
        <f>'Блок 1'!D214</f>
        <v>0</v>
      </c>
      <c r="E214" s="172">
        <f>D214*C214</f>
        <v>0</v>
      </c>
    </row>
    <row r="215" spans="1:5" ht="18.75" customHeight="1" thickBot="1">
      <c r="A215" s="80" t="s">
        <v>47</v>
      </c>
      <c r="B215" s="81"/>
      <c r="C215" s="82"/>
      <c r="D215" s="167"/>
      <c r="E215" s="169">
        <f>SUM(E210:E214)</f>
        <v>286000.00000000006</v>
      </c>
    </row>
    <row r="216" spans="1:5" s="143" customFormat="1" ht="15.4" thickBot="1">
      <c r="A216" s="154" t="s">
        <v>113</v>
      </c>
      <c r="B216" s="155"/>
      <c r="C216" s="155"/>
      <c r="D216" s="170"/>
      <c r="E216" s="176">
        <f>E208+E215</f>
        <v>411000.00000000006</v>
      </c>
    </row>
    <row r="217" spans="1:5" s="138" customFormat="1" ht="36" customHeight="1" thickBot="1">
      <c r="A217" s="186" t="s">
        <v>157</v>
      </c>
      <c r="B217" s="187"/>
      <c r="C217" s="187"/>
      <c r="D217" s="187"/>
      <c r="E217" s="188"/>
    </row>
    <row r="218" spans="1:5" s="143" customFormat="1" ht="13.9">
      <c r="A218" s="139" t="s">
        <v>108</v>
      </c>
      <c r="B218" s="140"/>
      <c r="C218" s="140"/>
      <c r="D218" s="141"/>
      <c r="E218" s="142"/>
    </row>
    <row r="219" spans="1:5" s="143" customFormat="1" ht="15">
      <c r="A219" s="15" t="s">
        <v>159</v>
      </c>
      <c r="B219" s="6" t="s">
        <v>59</v>
      </c>
      <c r="C219" s="39">
        <f>425</f>
        <v>425</v>
      </c>
      <c r="D219" s="109">
        <f>'Блок 1'!D219</f>
        <v>600</v>
      </c>
      <c r="E219" s="163">
        <f>C219*D219</f>
        <v>255000</v>
      </c>
    </row>
    <row r="220" spans="1:5" s="143" customFormat="1" ht="15.4" thickBot="1">
      <c r="A220" s="15" t="s">
        <v>160</v>
      </c>
      <c r="B220" s="6" t="s">
        <v>46</v>
      </c>
      <c r="C220" s="39">
        <f>C219+5</f>
        <v>430</v>
      </c>
      <c r="D220" s="109">
        <f>'Блок 1'!D220</f>
        <v>2600</v>
      </c>
      <c r="E220" s="168">
        <f>C220*D220</f>
        <v>1118000</v>
      </c>
    </row>
    <row r="221" spans="1:5" s="143" customFormat="1" ht="15.4" thickBot="1">
      <c r="A221" s="149" t="s">
        <v>110</v>
      </c>
      <c r="B221" s="150"/>
      <c r="C221" s="150"/>
      <c r="D221" s="227"/>
      <c r="E221" s="241">
        <f>E219+E220</f>
        <v>1373000</v>
      </c>
    </row>
    <row r="222" spans="1:5" ht="15">
      <c r="A222" s="17" t="s">
        <v>45</v>
      </c>
      <c r="B222" s="6"/>
      <c r="C222" s="75"/>
      <c r="D222" s="129"/>
      <c r="E222" s="238"/>
    </row>
    <row r="223" spans="1:5" ht="15">
      <c r="A223" s="144" t="s">
        <v>158</v>
      </c>
      <c r="B223" s="156" t="s">
        <v>46</v>
      </c>
      <c r="C223" s="166">
        <f>C219/3</f>
        <v>141.66666666666666</v>
      </c>
      <c r="D223" s="109">
        <f>'Блок 1'!D223</f>
        <v>7500</v>
      </c>
      <c r="E223" s="163">
        <f t="shared" ref="E223:E229" si="7">C223*D223</f>
        <v>1062500</v>
      </c>
    </row>
    <row r="224" spans="1:5" ht="15">
      <c r="A224" s="144" t="s">
        <v>132</v>
      </c>
      <c r="B224" s="156" t="s">
        <v>3</v>
      </c>
      <c r="C224" s="166">
        <f>0.5*C223</f>
        <v>70.833333333333329</v>
      </c>
      <c r="D224" s="109">
        <f>'Блок 1'!D224</f>
        <v>0</v>
      </c>
      <c r="E224" s="163">
        <f t="shared" si="7"/>
        <v>0</v>
      </c>
    </row>
    <row r="225" spans="1:7" ht="15">
      <c r="A225" s="144" t="s">
        <v>133</v>
      </c>
      <c r="B225" s="156" t="s">
        <v>3</v>
      </c>
      <c r="C225" s="166">
        <f>0.3*C223</f>
        <v>42.499999999999993</v>
      </c>
      <c r="D225" s="109">
        <f>'Блок 1'!D225</f>
        <v>0</v>
      </c>
      <c r="E225" s="163">
        <f t="shared" si="7"/>
        <v>0</v>
      </c>
    </row>
    <row r="226" spans="1:7" ht="15">
      <c r="A226" s="144" t="s">
        <v>147</v>
      </c>
      <c r="B226" s="156" t="s">
        <v>46</v>
      </c>
      <c r="C226" s="166">
        <f>(C223*0.16)*0.25/3</f>
        <v>1.8888888888888886</v>
      </c>
      <c r="D226" s="109">
        <f>'Блок 1'!D226</f>
        <v>0</v>
      </c>
      <c r="E226" s="163">
        <f t="shared" si="7"/>
        <v>0</v>
      </c>
    </row>
    <row r="227" spans="1:7" ht="18.75" customHeight="1">
      <c r="A227" s="144" t="s">
        <v>135</v>
      </c>
      <c r="B227" s="156" t="s">
        <v>6</v>
      </c>
      <c r="C227" s="166">
        <f t="shared" ref="C227" si="8">C224/3</f>
        <v>23.611111111111111</v>
      </c>
      <c r="D227" s="109">
        <f>'Блок 1'!D227</f>
        <v>0</v>
      </c>
      <c r="E227" s="163">
        <f t="shared" si="7"/>
        <v>0</v>
      </c>
    </row>
    <row r="228" spans="1:7" ht="15">
      <c r="A228" s="144" t="s">
        <v>138</v>
      </c>
      <c r="B228" s="156" t="s">
        <v>46</v>
      </c>
      <c r="C228" s="166">
        <f>0.25*C219/4</f>
        <v>26.5625</v>
      </c>
      <c r="D228" s="109">
        <f>'Блок 1'!D228</f>
        <v>0</v>
      </c>
      <c r="E228" s="163">
        <f t="shared" si="7"/>
        <v>0</v>
      </c>
    </row>
    <row r="229" spans="1:7" ht="15.4" thickBot="1">
      <c r="A229" s="144" t="s">
        <v>161</v>
      </c>
      <c r="B229" s="156" t="s">
        <v>46</v>
      </c>
      <c r="C229" s="166">
        <f>C223</f>
        <v>141.66666666666666</v>
      </c>
      <c r="D229" s="109">
        <f>'Блок 1'!D229</f>
        <v>0</v>
      </c>
      <c r="E229" s="168">
        <f t="shared" si="7"/>
        <v>0</v>
      </c>
    </row>
    <row r="230" spans="1:7" ht="15.4" thickBot="1">
      <c r="A230" s="80" t="s">
        <v>47</v>
      </c>
      <c r="B230" s="81"/>
      <c r="C230" s="82"/>
      <c r="D230" s="167"/>
      <c r="E230" s="169">
        <f>SUM(E223:E229)</f>
        <v>1062500</v>
      </c>
    </row>
    <row r="231" spans="1:7" ht="15.4" thickBot="1">
      <c r="A231" s="154" t="s">
        <v>113</v>
      </c>
      <c r="B231" s="155"/>
      <c r="C231" s="155"/>
      <c r="D231" s="170"/>
      <c r="E231" s="171">
        <f>E221+E230</f>
        <v>2435500</v>
      </c>
      <c r="G231" s="74"/>
    </row>
    <row r="232" spans="1:7" s="138" customFormat="1" ht="36" customHeight="1" thickBot="1">
      <c r="A232" s="186" t="s">
        <v>167</v>
      </c>
      <c r="B232" s="187"/>
      <c r="C232" s="187"/>
      <c r="D232" s="187"/>
      <c r="E232" s="188"/>
    </row>
    <row r="233" spans="1:7" s="143" customFormat="1" ht="13.9">
      <c r="A233" s="139" t="s">
        <v>2</v>
      </c>
      <c r="B233" s="140"/>
      <c r="C233" s="140"/>
      <c r="D233" s="141"/>
      <c r="E233" s="142"/>
    </row>
    <row r="234" spans="1:7" s="143" customFormat="1" ht="15.4" thickBot="1">
      <c r="A234" s="15" t="s">
        <v>167</v>
      </c>
      <c r="B234" s="6" t="s">
        <v>46</v>
      </c>
      <c r="C234" s="39">
        <f>436</f>
        <v>436</v>
      </c>
      <c r="D234" s="109">
        <f>'Блок 1'!D234</f>
        <v>450</v>
      </c>
      <c r="E234" s="168">
        <f>C234*D234</f>
        <v>196200</v>
      </c>
    </row>
    <row r="235" spans="1:7" s="143" customFormat="1" ht="15.4" thickBot="1">
      <c r="A235" s="149" t="s">
        <v>4</v>
      </c>
      <c r="B235" s="150"/>
      <c r="C235" s="150"/>
      <c r="D235" s="227"/>
      <c r="E235" s="241">
        <f>E234</f>
        <v>196200</v>
      </c>
    </row>
    <row r="236" spans="1:7" ht="15">
      <c r="A236" s="17" t="s">
        <v>45</v>
      </c>
      <c r="B236" s="6"/>
      <c r="C236" s="75"/>
      <c r="D236" s="129"/>
      <c r="E236" s="238"/>
    </row>
    <row r="237" spans="1:7" ht="15.4" thickBot="1">
      <c r="A237" s="144" t="s">
        <v>168</v>
      </c>
      <c r="B237" s="156" t="s">
        <v>46</v>
      </c>
      <c r="C237" s="166">
        <f>C234*0.6</f>
        <v>261.59999999999997</v>
      </c>
      <c r="D237" s="109">
        <f>'Блок 1'!D237</f>
        <v>0</v>
      </c>
      <c r="E237" s="163">
        <f>C237*D237</f>
        <v>0</v>
      </c>
    </row>
    <row r="238" spans="1:7" ht="15.4" thickBot="1">
      <c r="A238" s="80" t="s">
        <v>47</v>
      </c>
      <c r="B238" s="81"/>
      <c r="C238" s="82"/>
      <c r="D238" s="167"/>
      <c r="E238" s="169">
        <f>SUM(E234)</f>
        <v>196200</v>
      </c>
    </row>
    <row r="239" spans="1:7" ht="15.4" thickBot="1">
      <c r="A239" s="154" t="s">
        <v>5</v>
      </c>
      <c r="B239" s="155"/>
      <c r="C239" s="155"/>
      <c r="D239" s="170"/>
      <c r="E239" s="171">
        <f>E235+E238</f>
        <v>392400</v>
      </c>
      <c r="G239" s="74"/>
    </row>
    <row r="240" spans="1:7" s="138" customFormat="1" ht="36" customHeight="1" thickBot="1">
      <c r="A240" s="186" t="s">
        <v>41</v>
      </c>
      <c r="B240" s="187"/>
      <c r="C240" s="187"/>
      <c r="D240" s="187"/>
      <c r="E240" s="188"/>
    </row>
    <row r="241" spans="1:7" ht="15">
      <c r="A241" s="25" t="s">
        <v>2</v>
      </c>
      <c r="B241" s="26"/>
      <c r="C241" s="26"/>
      <c r="D241" s="26"/>
      <c r="E241" s="33"/>
    </row>
    <row r="242" spans="1:7" ht="15.95" customHeight="1" thickBot="1">
      <c r="A242" s="15" t="s">
        <v>42</v>
      </c>
      <c r="B242" s="6" t="s">
        <v>6</v>
      </c>
      <c r="C242" s="39">
        <v>0</v>
      </c>
      <c r="D242" s="109">
        <f>'Блок 1'!D242</f>
        <v>600</v>
      </c>
      <c r="E242" s="232">
        <f>C242*D242</f>
        <v>0</v>
      </c>
    </row>
    <row r="243" spans="1:7" ht="15.4" thickBot="1">
      <c r="A243" s="16" t="s">
        <v>4</v>
      </c>
      <c r="B243" s="13"/>
      <c r="C243" s="14"/>
      <c r="D243" s="226"/>
      <c r="E243" s="240">
        <f>E242</f>
        <v>0</v>
      </c>
    </row>
    <row r="244" spans="1:7" ht="15">
      <c r="A244" s="17" t="s">
        <v>45</v>
      </c>
      <c r="B244" s="6"/>
      <c r="C244" s="39"/>
      <c r="D244" s="10"/>
      <c r="E244" s="237"/>
    </row>
    <row r="245" spans="1:7" ht="15">
      <c r="A245" s="15" t="s">
        <v>56</v>
      </c>
      <c r="B245" s="6" t="s">
        <v>6</v>
      </c>
      <c r="C245" s="39">
        <f>C242*1.1</f>
        <v>0</v>
      </c>
      <c r="D245" s="109">
        <f>'Блок 1'!D245</f>
        <v>0</v>
      </c>
      <c r="E245" s="20">
        <f t="shared" ref="E245:E250" si="9">C245*D245</f>
        <v>0</v>
      </c>
      <c r="G245" s="74"/>
    </row>
    <row r="246" spans="1:7" ht="15">
      <c r="A246" s="15" t="s">
        <v>72</v>
      </c>
      <c r="B246" s="6" t="s">
        <v>46</v>
      </c>
      <c r="C246" s="39">
        <v>0</v>
      </c>
      <c r="D246" s="109">
        <f>'Блок 1'!D246</f>
        <v>0</v>
      </c>
      <c r="E246" s="20">
        <f t="shared" si="9"/>
        <v>0</v>
      </c>
      <c r="G246" s="74"/>
    </row>
    <row r="247" spans="1:7" ht="15">
      <c r="A247" s="15" t="s">
        <v>73</v>
      </c>
      <c r="B247" s="6" t="s">
        <v>46</v>
      </c>
      <c r="C247" s="39">
        <v>0</v>
      </c>
      <c r="D247" s="109">
        <f>'Блок 1'!D247</f>
        <v>0</v>
      </c>
      <c r="E247" s="20">
        <f t="shared" si="9"/>
        <v>0</v>
      </c>
      <c r="G247" s="74"/>
    </row>
    <row r="248" spans="1:7" ht="15">
      <c r="A248" s="15" t="s">
        <v>74</v>
      </c>
      <c r="B248" s="6" t="s">
        <v>46</v>
      </c>
      <c r="C248" s="39">
        <v>0</v>
      </c>
      <c r="D248" s="109">
        <f>'Блок 1'!D248</f>
        <v>0</v>
      </c>
      <c r="E248" s="20">
        <f t="shared" si="9"/>
        <v>0</v>
      </c>
      <c r="G248" s="74"/>
    </row>
    <row r="249" spans="1:7" ht="15">
      <c r="A249" s="15" t="s">
        <v>75</v>
      </c>
      <c r="B249" s="6" t="s">
        <v>46</v>
      </c>
      <c r="C249" s="39">
        <v>0</v>
      </c>
      <c r="D249" s="109">
        <f>'Блок 1'!D249</f>
        <v>0</v>
      </c>
      <c r="E249" s="20">
        <f t="shared" si="9"/>
        <v>0</v>
      </c>
      <c r="G249" s="74"/>
    </row>
    <row r="250" spans="1:7" ht="15.4" thickBot="1">
      <c r="A250" s="15" t="s">
        <v>58</v>
      </c>
      <c r="B250" s="6" t="s">
        <v>46</v>
      </c>
      <c r="C250" s="39">
        <v>0</v>
      </c>
      <c r="D250" s="109">
        <f>'Блок 1'!D250</f>
        <v>0</v>
      </c>
      <c r="E250" s="20">
        <f t="shared" si="9"/>
        <v>0</v>
      </c>
      <c r="G250" s="74"/>
    </row>
    <row r="251" spans="1:7" ht="15.4" thickBot="1">
      <c r="A251" s="80" t="s">
        <v>47</v>
      </c>
      <c r="B251" s="81"/>
      <c r="C251" s="82"/>
      <c r="D251" s="83"/>
      <c r="E251" s="87">
        <f>SUM(E245:E250)</f>
        <v>0</v>
      </c>
    </row>
    <row r="252" spans="1:7" ht="20.100000000000001" customHeight="1" thickBot="1">
      <c r="A252" s="22" t="s">
        <v>5</v>
      </c>
      <c r="B252" s="23"/>
      <c r="C252" s="24"/>
      <c r="D252" s="71"/>
      <c r="E252" s="73">
        <f>E243+E251</f>
        <v>0</v>
      </c>
      <c r="G252" s="246" t="s">
        <v>171</v>
      </c>
    </row>
    <row r="253" spans="1:7" ht="38.25" customHeight="1" thickBot="1">
      <c r="A253" s="204" t="s">
        <v>14</v>
      </c>
      <c r="B253" s="205"/>
      <c r="C253" s="205"/>
      <c r="D253" s="206"/>
      <c r="E253" s="72">
        <f>SUM(E23,E36,E48,E59,E72,E98,E114,E132,E141,E151,E168,E184,E193,E208,E221,E24,E2343,E235)</f>
        <v>13942335.5</v>
      </c>
      <c r="G253" s="247">
        <f>E253/C47</f>
        <v>1309.409972012998</v>
      </c>
    </row>
    <row r="254" spans="1:7" ht="38.25" customHeight="1" thickBot="1">
      <c r="A254" s="210" t="s">
        <v>76</v>
      </c>
      <c r="B254" s="211"/>
      <c r="C254" s="211"/>
      <c r="D254" s="212"/>
      <c r="E254" s="99">
        <f>SUM(E28,E43,E52,E66,E87,E106,E126,E136,E146,E161,E179,E188,E201,E215,E230,E251,E243,E238)</f>
        <v>3539670.8140350874</v>
      </c>
      <c r="G254" s="246"/>
    </row>
    <row r="255" spans="1:7" ht="20.65" thickBot="1">
      <c r="A255" s="189" t="s">
        <v>20</v>
      </c>
      <c r="B255" s="190"/>
      <c r="C255" s="190"/>
      <c r="D255" s="190"/>
      <c r="E255" s="191"/>
      <c r="G255" s="246"/>
    </row>
    <row r="256" spans="1:7" ht="17.649999999999999">
      <c r="A256" s="53" t="s">
        <v>43</v>
      </c>
      <c r="B256" s="54" t="s">
        <v>12</v>
      </c>
      <c r="C256" s="55">
        <v>1</v>
      </c>
      <c r="D256" s="56">
        <v>320000</v>
      </c>
      <c r="E256" s="57">
        <f>C256*D256</f>
        <v>320000</v>
      </c>
      <c r="G256" s="246"/>
    </row>
    <row r="257" spans="1:7" ht="17.649999999999999">
      <c r="A257" s="58" t="s">
        <v>13</v>
      </c>
      <c r="B257" s="50" t="s">
        <v>12</v>
      </c>
      <c r="C257" s="51">
        <v>3</v>
      </c>
      <c r="D257" s="52">
        <v>30000</v>
      </c>
      <c r="E257" s="59">
        <f>C257*D257</f>
        <v>90000</v>
      </c>
      <c r="G257" s="246"/>
    </row>
    <row r="258" spans="1:7" ht="18" thickBot="1">
      <c r="A258" s="60" t="s">
        <v>44</v>
      </c>
      <c r="B258" s="61" t="s">
        <v>12</v>
      </c>
      <c r="C258" s="62">
        <v>2</v>
      </c>
      <c r="D258" s="63">
        <v>16000</v>
      </c>
      <c r="E258" s="64">
        <f>C258*D258</f>
        <v>32000</v>
      </c>
      <c r="G258" s="246"/>
    </row>
    <row r="259" spans="1:7" ht="44.25" customHeight="1" thickBot="1">
      <c r="A259" s="192" t="s">
        <v>21</v>
      </c>
      <c r="B259" s="193"/>
      <c r="C259" s="193"/>
      <c r="D259" s="194"/>
      <c r="E259" s="35">
        <f>SUM(E256:E258)</f>
        <v>442000</v>
      </c>
      <c r="G259" s="247"/>
    </row>
    <row r="260" spans="1:7" ht="24.95" customHeight="1" thickBot="1">
      <c r="A260" s="195" t="s">
        <v>7</v>
      </c>
      <c r="B260" s="196"/>
      <c r="C260" s="196"/>
      <c r="D260" s="197"/>
      <c r="E260" s="40">
        <f>E253+E259+E254</f>
        <v>17924006.314035088</v>
      </c>
      <c r="G260" s="247">
        <f>E260/C47</f>
        <v>1683.3530225995125</v>
      </c>
    </row>
    <row r="261" spans="1:7" ht="24.95" customHeight="1" thickBot="1">
      <c r="A261" s="195" t="s">
        <v>170</v>
      </c>
      <c r="B261" s="196"/>
      <c r="C261" s="196"/>
      <c r="D261" s="197"/>
      <c r="E261" s="40">
        <f>E260+(E260*22%)</f>
        <v>21867287.703122806</v>
      </c>
      <c r="G261" s="247">
        <f>E261/C47</f>
        <v>2053.6906875714053</v>
      </c>
    </row>
    <row r="262" spans="1:7" ht="39.950000000000003" customHeight="1"/>
    <row r="263" spans="1:7" ht="26.1" customHeight="1"/>
  </sheetData>
  <mergeCells count="35">
    <mergeCell ref="A261:D261"/>
    <mergeCell ref="A1:E1"/>
    <mergeCell ref="D3:E3"/>
    <mergeCell ref="D4:E4"/>
    <mergeCell ref="A89:E89"/>
    <mergeCell ref="A54:E54"/>
    <mergeCell ref="A16:E17"/>
    <mergeCell ref="A15:E15"/>
    <mergeCell ref="A14:E14"/>
    <mergeCell ref="D5:E5"/>
    <mergeCell ref="A20:E20"/>
    <mergeCell ref="A30:E30"/>
    <mergeCell ref="A68:E68"/>
    <mergeCell ref="A255:E255"/>
    <mergeCell ref="A259:D259"/>
    <mergeCell ref="A260:D260"/>
    <mergeCell ref="A240:E240"/>
    <mergeCell ref="D6:E6"/>
    <mergeCell ref="D7:E7"/>
    <mergeCell ref="A10:E10"/>
    <mergeCell ref="A11:E11"/>
    <mergeCell ref="A138:E138"/>
    <mergeCell ref="A45:E45"/>
    <mergeCell ref="A253:D253"/>
    <mergeCell ref="A108:E108"/>
    <mergeCell ref="A19:E19"/>
    <mergeCell ref="A128:E128"/>
    <mergeCell ref="A254:D254"/>
    <mergeCell ref="A232:E232"/>
    <mergeCell ref="A217:E217"/>
    <mergeCell ref="A148:E148"/>
    <mergeCell ref="A163:E163"/>
    <mergeCell ref="A181:E181"/>
    <mergeCell ref="A190:E190"/>
    <mergeCell ref="A203:E203"/>
  </mergeCells>
  <pageMargins left="0.7" right="0.7" top="0.75" bottom="0.75" header="0.3" footer="0.3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Блок 1</vt:lpstr>
      <vt:lpstr>Блок 2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KRD KRD</dc:creator>
  <cp:lastModifiedBy>Пользователь</cp:lastModifiedBy>
  <cp:revision/>
  <cp:lastPrinted>2024-10-07T09:33:14Z</cp:lastPrinted>
  <dcterms:created xsi:type="dcterms:W3CDTF">2024-03-16T18:53:19Z</dcterms:created>
  <dcterms:modified xsi:type="dcterms:W3CDTF">2026-03-09T11:08:32Z</dcterms:modified>
</cp:coreProperties>
</file>