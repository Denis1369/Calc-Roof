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Моя папка\Личка1\Расчеты_\Для калькулятора\"/>
    </mc:Choice>
  </mc:AlternateContent>
  <xr:revisionPtr revIDLastSave="0" documentId="13_ncr:1_{1FD12742-0E54-4AFB-9C83-9099059DB64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7" i="1" l="1"/>
  <c r="E32" i="1"/>
  <c r="C64" i="1"/>
  <c r="C63" i="1"/>
  <c r="C75" i="1"/>
  <c r="E75" i="1" s="1"/>
  <c r="C76" i="1"/>
  <c r="E76" i="1" s="1"/>
  <c r="E102" i="1"/>
  <c r="E103" i="1"/>
  <c r="E104" i="1"/>
  <c r="E105" i="1"/>
  <c r="E106" i="1"/>
  <c r="E107" i="1"/>
  <c r="E108" i="1"/>
  <c r="E109" i="1"/>
  <c r="C68" i="1"/>
  <c r="E68" i="1" s="1"/>
  <c r="C54" i="1"/>
  <c r="C57" i="1" s="1"/>
  <c r="E47" i="1"/>
  <c r="E46" i="1"/>
  <c r="E42" i="1"/>
  <c r="E43" i="1"/>
  <c r="E41" i="1"/>
  <c r="C49" i="1"/>
  <c r="E49" i="1" s="1"/>
  <c r="C48" i="1"/>
  <c r="E48" i="1" s="1"/>
  <c r="C26" i="1"/>
  <c r="D24" i="1"/>
  <c r="C24" i="1"/>
  <c r="E50" i="1" l="1"/>
  <c r="C74" i="1"/>
  <c r="E44" i="1"/>
  <c r="E91" i="1"/>
  <c r="E51" i="1" l="1"/>
  <c r="C93" i="1"/>
  <c r="C90" i="1"/>
  <c r="E86" i="1"/>
  <c r="C80" i="1"/>
  <c r="C36" i="1"/>
  <c r="E101" i="1" l="1"/>
  <c r="E110" i="1" s="1"/>
  <c r="E93" i="1"/>
  <c r="E92" i="1"/>
  <c r="E90" i="1"/>
  <c r="E81" i="1"/>
  <c r="E80" i="1"/>
  <c r="E69" i="1"/>
  <c r="E67" i="1"/>
  <c r="E70" i="1" s="1"/>
  <c r="E58" i="1"/>
  <c r="E36" i="1"/>
  <c r="E35" i="1"/>
  <c r="E37" i="1" s="1"/>
  <c r="E31" i="1"/>
  <c r="E33" i="1" s="1"/>
  <c r="E25" i="1"/>
  <c r="E26" i="1"/>
  <c r="E24" i="1"/>
  <c r="E38" i="1" l="1"/>
  <c r="E94" i="1"/>
  <c r="E27" i="1"/>
  <c r="E82" i="1"/>
  <c r="E115" i="1" l="1"/>
  <c r="E98" i="1"/>
  <c r="E74" i="1"/>
  <c r="E77" i="1" s="1"/>
  <c r="E64" i="1"/>
  <c r="E83" i="1" l="1"/>
  <c r="E116" i="1"/>
  <c r="E21" i="1"/>
  <c r="E112" i="1" l="1"/>
  <c r="E99" i="1"/>
  <c r="E111" i="1" s="1"/>
  <c r="E87" i="1"/>
  <c r="E88" i="1" s="1"/>
  <c r="E95" i="1" s="1"/>
  <c r="E63" i="1"/>
  <c r="E65" i="1" s="1"/>
  <c r="E71" i="1" s="1"/>
  <c r="E57" i="1"/>
  <c r="E59" i="1" s="1"/>
  <c r="E54" i="1"/>
  <c r="E113" i="1" s="1"/>
  <c r="E117" i="1" s="1"/>
  <c r="E22" i="1"/>
  <c r="E28" i="1" l="1"/>
  <c r="E55" i="1"/>
  <c r="E60" i="1" s="1"/>
</calcChain>
</file>

<file path=xl/sharedStrings.xml><?xml version="1.0" encoding="utf-8"?>
<sst xmlns="http://schemas.openxmlformats.org/spreadsheetml/2006/main" count="164" uniqueCount="85">
  <si>
    <t>Ед.изм.</t>
  </si>
  <si>
    <t>Кол-во</t>
  </si>
  <si>
    <t>Цена за ед</t>
  </si>
  <si>
    <t>Сумма</t>
  </si>
  <si>
    <t>Работы:</t>
  </si>
  <si>
    <t>м2</t>
  </si>
  <si>
    <t>Итого за работы:</t>
  </si>
  <si>
    <t>ИТОГО по Разделу:</t>
  </si>
  <si>
    <t>м/п</t>
  </si>
  <si>
    <t>Материалы:</t>
  </si>
  <si>
    <t>Итого за материалы:</t>
  </si>
  <si>
    <t>шт</t>
  </si>
  <si>
    <t>Итого общая сумма по всем разделам:</t>
  </si>
  <si>
    <t>Согласовано</t>
  </si>
  <si>
    <t>Утверждаю</t>
  </si>
  <si>
    <t>СМЕТА №1</t>
  </si>
  <si>
    <t>«Подрядчик»</t>
  </si>
  <si>
    <t>«Заказчик»</t>
  </si>
  <si>
    <t>ед</t>
  </si>
  <si>
    <t>Механическое крепление теплоизоляционного слоя</t>
  </si>
  <si>
    <t>ИТОГО по Разделам монтажные работы кровля из ПВХ-мембраны:</t>
  </si>
  <si>
    <t>ООО «»</t>
  </si>
  <si>
    <t xml:space="preserve">ИНН / КПП </t>
  </si>
  <si>
    <t>Ген. Директор________________  ()</t>
  </si>
  <si>
    <t>Наименование работ</t>
  </si>
  <si>
    <t>Монтаж профилированного листа</t>
  </si>
  <si>
    <t>Устройство L-образного профиля и профилей усиления</t>
  </si>
  <si>
    <t>Устройство пароизоляции</t>
  </si>
  <si>
    <t>Саморез кровельный 5,5*38 мм</t>
  </si>
  <si>
    <t>Саморез кровельный 4,8*19 мм</t>
  </si>
  <si>
    <t>Изделие (L-образный профиль, коньковый усилитель) из оц. стали толщиной 0,5 мм</t>
  </si>
  <si>
    <t>Саморез кровельный 5,5*19 мм</t>
  </si>
  <si>
    <t>Устройство пароизоляции из пленки</t>
  </si>
  <si>
    <t>Пленка пароизоляционная ТехноНИКОЛЬ</t>
  </si>
  <si>
    <t>Скотч двусторонний, 25м</t>
  </si>
  <si>
    <t>Устройство гидроизоляционного покрытия из ПВХ-мембраны по плоскости</t>
  </si>
  <si>
    <t>Неармированная ПВХ-мембрана ТехноНИКОЛЬ LOGICROOF V-SR 1,5 мм</t>
  </si>
  <si>
    <t>Рейка прижимная ТехноНИКОЛЬ</t>
  </si>
  <si>
    <t>Крепеж кровельный ТехноНИКОЛЬ (саморез 5,5*35)</t>
  </si>
  <si>
    <t>ИТОГО по Разделам материалы для устройства кровли из ПВХ-мембраны:</t>
  </si>
  <si>
    <t>Накладные, транспортные, организационные и утилизационные расходы:</t>
  </si>
  <si>
    <t>ИТОГО по Разделам накладные, транспортные, организационные и утилизационные расходы:</t>
  </si>
  <si>
    <t>м3</t>
  </si>
  <si>
    <t>Профилированный лист Н60-845-0,7 мм</t>
  </si>
  <si>
    <t>Устройство карнизного свеса (монтаж бруса и ПВХ-металла)</t>
  </si>
  <si>
    <t>Монтаж бруса 100*100 мм</t>
  </si>
  <si>
    <t>Гибка изделия фасонного элемента из ПВХ-металла</t>
  </si>
  <si>
    <t>Монтаж фасонного элемента из ПВХ-металла</t>
  </si>
  <si>
    <t>Брус 100*100 мм</t>
  </si>
  <si>
    <t>ПВХ-металл</t>
  </si>
  <si>
    <t>Саморез 4,8*120 мм</t>
  </si>
  <si>
    <t>Саморез 4,8*50 мм</t>
  </si>
  <si>
    <t>Минераловатный утеплитель ТехноНИКОЛЬ ТехноРУФ Н30, толщиной 80 мм</t>
  </si>
  <si>
    <t>Минераловатный утеплитель ТехноНИКОЛЬ ТехноРУФ В60, толщиной 40 мм</t>
  </si>
  <si>
    <t>Крепеж кровельный телескопический 100 мм + саморез сверлоконечный 70 мм</t>
  </si>
  <si>
    <t>Устройство гидроизоляции примыканий к парапету и к карнизному свесу из ПВХ-мембраны</t>
  </si>
  <si>
    <t>Монтаж гидроизоляционного покрытия из ПВХ-мембраны к карнизному свесу</t>
  </si>
  <si>
    <t>Монтаж гидроизоляционного покрытия на парапеты (и вертикальные стены) из ПВХ-мембраны, с заведением за парапет</t>
  </si>
  <si>
    <t>Устройство минераловатного утеплителя в два слоя, общей толщиной 120 мм</t>
  </si>
  <si>
    <t>ПВХ-мембрана ТехноНИКОЛЬ LOGICROOF V-RP 1,5 мм</t>
  </si>
  <si>
    <t>Устройство наружной водосточной системы</t>
  </si>
  <si>
    <t>Кронштейн желоба МП</t>
  </si>
  <si>
    <t xml:space="preserve">Заглушка желоба </t>
  </si>
  <si>
    <t>Воронка выпускная</t>
  </si>
  <si>
    <t>Кронштейн трубы</t>
  </si>
  <si>
    <t>Крепежные элементы</t>
  </si>
  <si>
    <t>Желоб 3м МП</t>
  </si>
  <si>
    <t>Монтаж наружной водосточной системы (тип водосточной системы - не вандалостойкая)</t>
  </si>
  <si>
    <t>Труба водосточная D90 (Белый) 3м</t>
  </si>
  <si>
    <t>Труба водосточная D90 (Белый) 1м</t>
  </si>
  <si>
    <r>
      <t>Колено трубы D90</t>
    </r>
    <r>
      <rPr>
        <sz val="12"/>
        <color theme="1"/>
        <rFont val="Calibri"/>
        <family val="2"/>
        <charset val="204"/>
      </rPr>
      <t>×</t>
    </r>
    <r>
      <rPr>
        <sz val="12"/>
        <color theme="1"/>
        <rFont val="Arial"/>
        <family val="2"/>
        <charset val="204"/>
      </rPr>
      <t>60 градусов (Белый)</t>
    </r>
  </si>
  <si>
    <t>Организационные, транспортные расходы, подъемы и механизмы::</t>
  </si>
  <si>
    <t>Механическое крепление гидроизоляционного слоя с учетом ветровых зон</t>
  </si>
  <si>
    <t>Монтаж гидроизоляционного покрытия из ПВХ мембраны, с шириной рулона 2 м, с продольным нахлестом не менее 120мм и поперечным 200мм</t>
  </si>
  <si>
    <t>Монтаж гидроизоляционного покрытия из ПВХ мембраны, с шириной рулона 0.5-1 м, с продольным нахлестом не менее 120мм и поперечным 200мм</t>
  </si>
  <si>
    <t xml:space="preserve">Устройство L-образного профиля в местах парапета и профилей усиления в ендове и на коньках. Заполнение гофр профлиста утеплителем НГ на длину 250 мм </t>
  </si>
  <si>
    <t xml:space="preserve">Заполнение гофр профлиста утеплителем НГ на длину 250 мм </t>
  </si>
  <si>
    <t>Приложение №1 к Договору подряда №_____ от ..2025 г.</t>
  </si>
  <si>
    <t>по Договору подряда №_____ от ..2025 г.</t>
  </si>
  <si>
    <t>ООО «СК-ЮГ»</t>
  </si>
  <si>
    <t>ИНН / КПП: 2312330110/ 231201001</t>
  </si>
  <si>
    <t>Ген. Директор________________  (Панюков А.А.)</t>
  </si>
  <si>
    <t xml:space="preserve">Наименование объекта: </t>
  </si>
  <si>
    <t>Адрес объекта:</t>
  </si>
  <si>
    <t>Данные крыши:
Суммарная площадь кровель = 526,5 м2,
Примыкания к парапету = 63 пог.м,
Примыкания к карнизному свесу = 27 пог.м.,
Тип водоотведения - наружный (желоб + прямые звенья) = 33.5 пог.м.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</si>
</sst>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14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9"/>
      <name val="Arial"/>
      <family val="2"/>
      <charset val="204"/>
    </font>
    <font>
      <sz val="11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i/>
      <sz val="11"/>
      <color theme="1"/>
      <name val="Arial"/>
      <family val="2"/>
      <charset val="204"/>
    </font>
    <font>
      <b/>
      <i/>
      <sz val="12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b/>
      <i/>
      <sz val="16"/>
      <color theme="1"/>
      <name val="Arial"/>
      <family val="2"/>
      <charset val="204"/>
    </font>
    <font>
      <sz val="16"/>
      <color theme="1"/>
      <name val="Arial"/>
      <family val="2"/>
      <charset val="204"/>
    </font>
    <font>
      <b/>
      <sz val="16"/>
      <color theme="1"/>
      <name val="Arial"/>
      <family val="2"/>
      <charset val="204"/>
    </font>
    <font>
      <sz val="12"/>
      <color theme="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/>
    <xf numFmtId="0" fontId="8" fillId="7" borderId="10" xfId="0" applyFont="1" applyFill="1" applyBorder="1" applyAlignment="1">
      <alignment wrapText="1"/>
    </xf>
    <xf numFmtId="0" fontId="8" fillId="7" borderId="11" xfId="0" applyFont="1" applyFill="1" applyBorder="1" applyAlignment="1">
      <alignment wrapText="1"/>
    </xf>
    <xf numFmtId="4" fontId="8" fillId="7" borderId="11" xfId="0" applyNumberFormat="1" applyFont="1" applyFill="1" applyBorder="1" applyAlignment="1">
      <alignment wrapText="1"/>
    </xf>
    <xf numFmtId="164" fontId="8" fillId="7" borderId="11" xfId="0" applyNumberFormat="1" applyFont="1" applyFill="1" applyBorder="1" applyAlignment="1">
      <alignment wrapText="1"/>
    </xf>
    <xf numFmtId="164" fontId="8" fillId="7" borderId="12" xfId="0" applyNumberFormat="1" applyFont="1" applyFill="1" applyBorder="1" applyAlignment="1">
      <alignment wrapText="1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0" borderId="16" xfId="0" applyFont="1" applyBorder="1"/>
    <xf numFmtId="4" fontId="4" fillId="0" borderId="16" xfId="0" applyNumberFormat="1" applyFont="1" applyBorder="1" applyAlignment="1">
      <alignment horizontal="right"/>
    </xf>
    <xf numFmtId="0" fontId="4" fillId="0" borderId="16" xfId="0" applyFont="1" applyBorder="1" applyAlignment="1">
      <alignment wrapText="1"/>
    </xf>
    <xf numFmtId="0" fontId="3" fillId="4" borderId="16" xfId="0" applyFont="1" applyFill="1" applyBorder="1"/>
    <xf numFmtId="0" fontId="3" fillId="4" borderId="16" xfId="0" applyFont="1" applyFill="1" applyBorder="1" applyAlignment="1">
      <alignment horizontal="center"/>
    </xf>
    <xf numFmtId="164" fontId="4" fillId="0" borderId="16" xfId="0" applyNumberFormat="1" applyFont="1" applyBorder="1" applyAlignment="1">
      <alignment horizontal="center" wrapText="1"/>
    </xf>
    <xf numFmtId="0" fontId="4" fillId="4" borderId="16" xfId="0" applyFont="1" applyFill="1" applyBorder="1" applyAlignment="1">
      <alignment wrapText="1"/>
    </xf>
    <xf numFmtId="2" fontId="4" fillId="4" borderId="16" xfId="0" applyNumberFormat="1" applyFont="1" applyFill="1" applyBorder="1" applyAlignment="1">
      <alignment horizontal="right" wrapText="1"/>
    </xf>
    <xf numFmtId="164" fontId="4" fillId="4" borderId="16" xfId="0" applyNumberFormat="1" applyFont="1" applyFill="1" applyBorder="1" applyAlignment="1">
      <alignment horizontal="center" wrapText="1"/>
    </xf>
    <xf numFmtId="2" fontId="4" fillId="0" borderId="16" xfId="0" applyNumberFormat="1" applyFont="1" applyBorder="1" applyAlignment="1">
      <alignment horizontal="right" wrapText="1"/>
    </xf>
    <xf numFmtId="0" fontId="4" fillId="5" borderId="16" xfId="0" applyFont="1" applyFill="1" applyBorder="1" applyAlignment="1">
      <alignment wrapText="1"/>
    </xf>
    <xf numFmtId="2" fontId="4" fillId="5" borderId="16" xfId="0" applyNumberFormat="1" applyFont="1" applyFill="1" applyBorder="1" applyAlignment="1">
      <alignment horizontal="center" wrapText="1"/>
    </xf>
    <xf numFmtId="164" fontId="4" fillId="5" borderId="16" xfId="0" applyNumberFormat="1" applyFont="1" applyFill="1" applyBorder="1" applyAlignment="1">
      <alignment horizontal="center" wrapText="1"/>
    </xf>
    <xf numFmtId="2" fontId="4" fillId="4" borderId="16" xfId="0" applyNumberFormat="1" applyFont="1" applyFill="1" applyBorder="1" applyAlignment="1">
      <alignment wrapText="1"/>
    </xf>
    <xf numFmtId="164" fontId="7" fillId="4" borderId="16" xfId="0" applyNumberFormat="1" applyFont="1" applyFill="1" applyBorder="1" applyAlignment="1">
      <alignment wrapText="1"/>
    </xf>
    <xf numFmtId="164" fontId="4" fillId="4" borderId="16" xfId="0" applyNumberFormat="1" applyFont="1" applyFill="1" applyBorder="1" applyAlignment="1">
      <alignment wrapText="1"/>
    </xf>
    <xf numFmtId="0" fontId="7" fillId="4" borderId="16" xfId="0" applyFont="1" applyFill="1" applyBorder="1" applyAlignment="1">
      <alignment wrapText="1"/>
    </xf>
    <xf numFmtId="2" fontId="7" fillId="4" borderId="16" xfId="0" applyNumberFormat="1" applyFont="1" applyFill="1" applyBorder="1" applyAlignment="1">
      <alignment wrapText="1"/>
    </xf>
    <xf numFmtId="4" fontId="4" fillId="0" borderId="16" xfId="0" applyNumberFormat="1" applyFont="1" applyBorder="1" applyAlignment="1">
      <alignment wrapText="1"/>
    </xf>
    <xf numFmtId="0" fontId="4" fillId="0" borderId="18" xfId="0" applyFont="1" applyBorder="1" applyAlignment="1">
      <alignment horizontal="left" vertical="center" wrapText="1"/>
    </xf>
    <xf numFmtId="164" fontId="4" fillId="0" borderId="19" xfId="0" applyNumberFormat="1" applyFont="1" applyBorder="1" applyAlignment="1">
      <alignment horizontal="right"/>
    </xf>
    <xf numFmtId="0" fontId="4" fillId="0" borderId="18" xfId="0" applyFont="1" applyBorder="1" applyAlignment="1">
      <alignment wrapText="1"/>
    </xf>
    <xf numFmtId="0" fontId="7" fillId="4" borderId="18" xfId="0" applyFont="1" applyFill="1" applyBorder="1" applyAlignment="1">
      <alignment horizontal="right" wrapText="1"/>
    </xf>
    <xf numFmtId="164" fontId="7" fillId="4" borderId="19" xfId="0" applyNumberFormat="1" applyFont="1" applyFill="1" applyBorder="1" applyAlignment="1">
      <alignment horizontal="right"/>
    </xf>
    <xf numFmtId="0" fontId="6" fillId="0" borderId="18" xfId="0" applyFont="1" applyBorder="1" applyAlignment="1">
      <alignment horizontal="center" wrapText="1"/>
    </xf>
    <xf numFmtId="164" fontId="4" fillId="0" borderId="19" xfId="0" applyNumberFormat="1" applyFont="1" applyBorder="1" applyAlignment="1">
      <alignment horizontal="right" wrapText="1"/>
    </xf>
    <xf numFmtId="164" fontId="7" fillId="4" borderId="19" xfId="0" applyNumberFormat="1" applyFont="1" applyFill="1" applyBorder="1" applyAlignment="1">
      <alignment horizontal="right" wrapText="1"/>
    </xf>
    <xf numFmtId="0" fontId="7" fillId="5" borderId="18" xfId="0" applyFont="1" applyFill="1" applyBorder="1" applyAlignment="1">
      <alignment horizontal="right" wrapText="1"/>
    </xf>
    <xf numFmtId="164" fontId="7" fillId="5" borderId="19" xfId="0" applyNumberFormat="1" applyFont="1" applyFill="1" applyBorder="1" applyAlignment="1">
      <alignment horizontal="right" wrapText="1"/>
    </xf>
    <xf numFmtId="0" fontId="4" fillId="6" borderId="18" xfId="0" applyFont="1" applyFill="1" applyBorder="1" applyAlignment="1">
      <alignment wrapText="1"/>
    </xf>
    <xf numFmtId="164" fontId="4" fillId="0" borderId="19" xfId="0" applyNumberFormat="1" applyFont="1" applyBorder="1" applyAlignment="1">
      <alignment wrapText="1"/>
    </xf>
    <xf numFmtId="164" fontId="7" fillId="4" borderId="19" xfId="0" applyNumberFormat="1" applyFont="1" applyFill="1" applyBorder="1" applyAlignment="1">
      <alignment wrapText="1"/>
    </xf>
    <xf numFmtId="0" fontId="7" fillId="2" borderId="20" xfId="0" applyFont="1" applyFill="1" applyBorder="1" applyAlignment="1">
      <alignment horizontal="left" wrapText="1"/>
    </xf>
    <xf numFmtId="0" fontId="7" fillId="2" borderId="21" xfId="0" applyFont="1" applyFill="1" applyBorder="1" applyAlignment="1">
      <alignment wrapText="1"/>
    </xf>
    <xf numFmtId="2" fontId="7" fillId="2" borderId="21" xfId="0" applyNumberFormat="1" applyFont="1" applyFill="1" applyBorder="1" applyAlignment="1">
      <alignment wrapText="1"/>
    </xf>
    <xf numFmtId="164" fontId="7" fillId="2" borderId="21" xfId="0" applyNumberFormat="1" applyFont="1" applyFill="1" applyBorder="1" applyAlignment="1">
      <alignment wrapText="1"/>
    </xf>
    <xf numFmtId="164" fontId="7" fillId="2" borderId="22" xfId="0" applyNumberFormat="1" applyFont="1" applyFill="1" applyBorder="1" applyAlignment="1">
      <alignment wrapText="1"/>
    </xf>
    <xf numFmtId="0" fontId="6" fillId="0" borderId="23" xfId="0" applyFont="1" applyBorder="1" applyAlignment="1">
      <alignment horizontal="center" vertical="center" wrapText="1"/>
    </xf>
    <xf numFmtId="0" fontId="3" fillId="0" borderId="24" xfId="0" applyFont="1" applyBorder="1"/>
    <xf numFmtId="0" fontId="3" fillId="0" borderId="25" xfId="0" applyFont="1" applyBorder="1"/>
    <xf numFmtId="0" fontId="7" fillId="2" borderId="26" xfId="0" applyFont="1" applyFill="1" applyBorder="1"/>
    <xf numFmtId="0" fontId="4" fillId="2" borderId="27" xfId="0" applyFont="1" applyFill="1" applyBorder="1"/>
    <xf numFmtId="164" fontId="7" fillId="2" borderId="28" xfId="0" applyNumberFormat="1" applyFont="1" applyFill="1" applyBorder="1" applyAlignment="1">
      <alignment horizontal="right"/>
    </xf>
    <xf numFmtId="0" fontId="6" fillId="0" borderId="23" xfId="0" applyFont="1" applyBorder="1" applyAlignment="1">
      <alignment horizontal="center" wrapText="1"/>
    </xf>
    <xf numFmtId="0" fontId="4" fillId="0" borderId="24" xfId="0" applyFont="1" applyBorder="1" applyAlignment="1">
      <alignment wrapText="1"/>
    </xf>
    <xf numFmtId="0" fontId="4" fillId="0" borderId="24" xfId="0" applyFont="1" applyBorder="1" applyAlignment="1">
      <alignment horizontal="center" wrapText="1"/>
    </xf>
    <xf numFmtId="164" fontId="4" fillId="0" borderId="24" xfId="0" applyNumberFormat="1" applyFont="1" applyBorder="1" applyAlignment="1">
      <alignment horizontal="center" wrapText="1"/>
    </xf>
    <xf numFmtId="164" fontId="4" fillId="0" borderId="25" xfId="0" applyNumberFormat="1" applyFont="1" applyBorder="1" applyAlignment="1">
      <alignment horizontal="right" wrapText="1"/>
    </xf>
    <xf numFmtId="0" fontId="7" fillId="2" borderId="26" xfId="0" applyFont="1" applyFill="1" applyBorder="1" applyAlignment="1">
      <alignment wrapText="1"/>
    </xf>
    <xf numFmtId="0" fontId="4" fillId="2" borderId="27" xfId="0" applyFont="1" applyFill="1" applyBorder="1" applyAlignment="1">
      <alignment wrapText="1"/>
    </xf>
    <xf numFmtId="2" fontId="4" fillId="2" borderId="27" xfId="0" applyNumberFormat="1" applyFont="1" applyFill="1" applyBorder="1" applyAlignment="1">
      <alignment horizontal="center" wrapText="1"/>
    </xf>
    <xf numFmtId="164" fontId="4" fillId="2" borderId="27" xfId="0" applyNumberFormat="1" applyFont="1" applyFill="1" applyBorder="1" applyAlignment="1">
      <alignment horizontal="center" wrapText="1"/>
    </xf>
    <xf numFmtId="164" fontId="7" fillId="2" borderId="28" xfId="0" applyNumberFormat="1" applyFont="1" applyFill="1" applyBorder="1" applyAlignment="1">
      <alignment horizontal="right" wrapText="1"/>
    </xf>
    <xf numFmtId="2" fontId="4" fillId="0" borderId="24" xfId="0" applyNumberFormat="1" applyFont="1" applyBorder="1" applyAlignment="1">
      <alignment horizontal="center" wrapText="1"/>
    </xf>
    <xf numFmtId="164" fontId="4" fillId="0" borderId="25" xfId="0" applyNumberFormat="1" applyFont="1" applyBorder="1" applyAlignment="1">
      <alignment wrapText="1"/>
    </xf>
    <xf numFmtId="164" fontId="7" fillId="2" borderId="28" xfId="0" applyNumberFormat="1" applyFont="1" applyFill="1" applyBorder="1" applyAlignment="1">
      <alignment wrapText="1"/>
    </xf>
    <xf numFmtId="0" fontId="4" fillId="0" borderId="25" xfId="0" applyFont="1" applyBorder="1" applyAlignment="1">
      <alignment wrapText="1"/>
    </xf>
    <xf numFmtId="0" fontId="7" fillId="2" borderId="27" xfId="0" applyFont="1" applyFill="1" applyBorder="1" applyAlignment="1">
      <alignment wrapText="1"/>
    </xf>
    <xf numFmtId="2" fontId="7" fillId="2" borderId="27" xfId="0" applyNumberFormat="1" applyFont="1" applyFill="1" applyBorder="1" applyAlignment="1">
      <alignment wrapText="1"/>
    </xf>
    <xf numFmtId="164" fontId="7" fillId="2" borderId="27" xfId="0" applyNumberFormat="1" applyFont="1" applyFill="1" applyBorder="1" applyAlignment="1">
      <alignment wrapText="1"/>
    </xf>
    <xf numFmtId="164" fontId="10" fillId="4" borderId="17" xfId="0" applyNumberFormat="1" applyFont="1" applyFill="1" applyBorder="1" applyAlignment="1">
      <alignment horizontal="center" vertical="center" wrapText="1"/>
    </xf>
    <xf numFmtId="164" fontId="10" fillId="7" borderId="17" xfId="0" applyNumberFormat="1" applyFont="1" applyFill="1" applyBorder="1" applyAlignment="1">
      <alignment horizontal="center" vertical="center" wrapText="1"/>
    </xf>
    <xf numFmtId="0" fontId="7" fillId="6" borderId="26" xfId="0" applyFont="1" applyFill="1" applyBorder="1" applyAlignment="1">
      <alignment horizontal="right" wrapText="1"/>
    </xf>
    <xf numFmtId="0" fontId="3" fillId="6" borderId="27" xfId="0" applyFont="1" applyFill="1" applyBorder="1"/>
    <xf numFmtId="0" fontId="3" fillId="6" borderId="27" xfId="0" applyFont="1" applyFill="1" applyBorder="1" applyAlignment="1">
      <alignment horizontal="center"/>
    </xf>
    <xf numFmtId="164" fontId="7" fillId="6" borderId="28" xfId="0" applyNumberFormat="1" applyFont="1" applyFill="1" applyBorder="1" applyAlignment="1">
      <alignment horizontal="right"/>
    </xf>
    <xf numFmtId="0" fontId="6" fillId="6" borderId="26" xfId="0" applyFont="1" applyFill="1" applyBorder="1" applyAlignment="1">
      <alignment horizontal="center" vertical="center" wrapText="1"/>
    </xf>
    <xf numFmtId="0" fontId="4" fillId="6" borderId="26" xfId="0" applyFont="1" applyFill="1" applyBorder="1" applyAlignment="1">
      <alignment horizontal="left" vertical="center" wrapText="1"/>
    </xf>
    <xf numFmtId="0" fontId="4" fillId="6" borderId="27" xfId="0" applyFont="1" applyFill="1" applyBorder="1"/>
    <xf numFmtId="0" fontId="4" fillId="5" borderId="27" xfId="0" applyFont="1" applyFill="1" applyBorder="1"/>
    <xf numFmtId="0" fontId="4" fillId="5" borderId="27" xfId="0" applyFont="1" applyFill="1" applyBorder="1" applyAlignment="1">
      <alignment horizontal="right"/>
    </xf>
    <xf numFmtId="164" fontId="7" fillId="5" borderId="28" xfId="0" applyNumberFormat="1" applyFont="1" applyFill="1" applyBorder="1" applyAlignment="1">
      <alignment horizontal="right"/>
    </xf>
    <xf numFmtId="0" fontId="7" fillId="5" borderId="26" xfId="0" applyFont="1" applyFill="1" applyBorder="1" applyAlignment="1">
      <alignment horizontal="right" wrapText="1"/>
    </xf>
    <xf numFmtId="0" fontId="5" fillId="6" borderId="16" xfId="0" applyFont="1" applyFill="1" applyBorder="1" applyAlignment="1">
      <alignment horizontal="left" vertical="center"/>
    </xf>
    <xf numFmtId="0" fontId="4" fillId="6" borderId="16" xfId="0" applyFont="1" applyFill="1" applyBorder="1"/>
    <xf numFmtId="0" fontId="5" fillId="5" borderId="16" xfId="0" applyFont="1" applyFill="1" applyBorder="1" applyAlignment="1">
      <alignment horizontal="left" vertical="center"/>
    </xf>
    <xf numFmtId="0" fontId="4" fillId="6" borderId="27" xfId="0" applyFont="1" applyFill="1" applyBorder="1" applyAlignment="1">
      <alignment wrapText="1"/>
    </xf>
    <xf numFmtId="164" fontId="4" fillId="6" borderId="27" xfId="0" applyNumberFormat="1" applyFont="1" applyFill="1" applyBorder="1" applyAlignment="1">
      <alignment horizontal="center" wrapText="1"/>
    </xf>
    <xf numFmtId="164" fontId="7" fillId="6" borderId="28" xfId="0" applyNumberFormat="1" applyFont="1" applyFill="1" applyBorder="1" applyAlignment="1">
      <alignment horizontal="right" wrapText="1"/>
    </xf>
    <xf numFmtId="0" fontId="6" fillId="6" borderId="26" xfId="0" applyFont="1" applyFill="1" applyBorder="1" applyAlignment="1">
      <alignment horizontal="center" wrapText="1"/>
    </xf>
    <xf numFmtId="0" fontId="4" fillId="5" borderId="27" xfId="0" applyFont="1" applyFill="1" applyBorder="1" applyAlignment="1">
      <alignment wrapText="1"/>
    </xf>
    <xf numFmtId="164" fontId="4" fillId="5" borderId="27" xfId="0" applyNumberFormat="1" applyFont="1" applyFill="1" applyBorder="1" applyAlignment="1">
      <alignment horizontal="center" wrapText="1"/>
    </xf>
    <xf numFmtId="164" fontId="7" fillId="5" borderId="28" xfId="0" applyNumberFormat="1" applyFont="1" applyFill="1" applyBorder="1" applyAlignment="1">
      <alignment horizontal="right" wrapText="1"/>
    </xf>
    <xf numFmtId="2" fontId="4" fillId="6" borderId="27" xfId="0" applyNumberFormat="1" applyFont="1" applyFill="1" applyBorder="1" applyAlignment="1">
      <alignment horizontal="right" wrapText="1"/>
    </xf>
    <xf numFmtId="2" fontId="4" fillId="5" borderId="27" xfId="0" applyNumberFormat="1" applyFont="1" applyFill="1" applyBorder="1" applyAlignment="1">
      <alignment horizontal="right" wrapText="1"/>
    </xf>
    <xf numFmtId="2" fontId="4" fillId="6" borderId="27" xfId="0" applyNumberFormat="1" applyFont="1" applyFill="1" applyBorder="1" applyAlignment="1">
      <alignment wrapText="1"/>
    </xf>
    <xf numFmtId="164" fontId="7" fillId="6" borderId="28" xfId="0" applyNumberFormat="1" applyFont="1" applyFill="1" applyBorder="1" applyAlignment="1">
      <alignment wrapText="1"/>
    </xf>
    <xf numFmtId="2" fontId="4" fillId="5" borderId="27" xfId="0" applyNumberFormat="1" applyFont="1" applyFill="1" applyBorder="1" applyAlignment="1">
      <alignment wrapText="1"/>
    </xf>
    <xf numFmtId="164" fontId="7" fillId="5" borderId="28" xfId="0" applyNumberFormat="1" applyFont="1" applyFill="1" applyBorder="1" applyAlignment="1">
      <alignment wrapText="1"/>
    </xf>
    <xf numFmtId="164" fontId="4" fillId="6" borderId="27" xfId="0" applyNumberFormat="1" applyFont="1" applyFill="1" applyBorder="1" applyAlignment="1">
      <alignment wrapText="1"/>
    </xf>
    <xf numFmtId="164" fontId="4" fillId="5" borderId="27" xfId="0" applyNumberFormat="1" applyFont="1" applyFill="1" applyBorder="1" applyAlignment="1">
      <alignment wrapText="1"/>
    </xf>
    <xf numFmtId="164" fontId="5" fillId="5" borderId="28" xfId="0" applyNumberFormat="1" applyFont="1" applyFill="1" applyBorder="1" applyAlignment="1">
      <alignment wrapText="1"/>
    </xf>
    <xf numFmtId="0" fontId="7" fillId="5" borderId="27" xfId="0" applyFont="1" applyFill="1" applyBorder="1" applyAlignment="1">
      <alignment wrapText="1"/>
    </xf>
    <xf numFmtId="2" fontId="7" fillId="5" borderId="27" xfId="0" applyNumberFormat="1" applyFont="1" applyFill="1" applyBorder="1" applyAlignment="1">
      <alignment wrapText="1"/>
    </xf>
    <xf numFmtId="164" fontId="7" fillId="5" borderId="27" xfId="0" applyNumberFormat="1" applyFont="1" applyFill="1" applyBorder="1" applyAlignment="1">
      <alignment wrapText="1"/>
    </xf>
    <xf numFmtId="0" fontId="7" fillId="6" borderId="27" xfId="0" applyFont="1" applyFill="1" applyBorder="1" applyAlignment="1">
      <alignment wrapText="1"/>
    </xf>
    <xf numFmtId="2" fontId="7" fillId="6" borderId="27" xfId="0" applyNumberFormat="1" applyFont="1" applyFill="1" applyBorder="1" applyAlignment="1">
      <alignment wrapText="1"/>
    </xf>
    <xf numFmtId="164" fontId="7" fillId="6" borderId="27" xfId="0" applyNumberFormat="1" applyFont="1" applyFill="1" applyBorder="1" applyAlignment="1">
      <alignment wrapText="1"/>
    </xf>
    <xf numFmtId="164" fontId="4" fillId="6" borderId="28" xfId="0" applyNumberFormat="1" applyFont="1" applyFill="1" applyBorder="1" applyAlignment="1">
      <alignment horizontal="right"/>
    </xf>
    <xf numFmtId="164" fontId="4" fillId="6" borderId="27" xfId="0" applyNumberFormat="1" applyFont="1" applyFill="1" applyBorder="1" applyAlignment="1">
      <alignment horizontal="right"/>
    </xf>
    <xf numFmtId="4" fontId="4" fillId="6" borderId="27" xfId="0" applyNumberFormat="1" applyFont="1" applyFill="1" applyBorder="1" applyAlignment="1">
      <alignment horizontal="right"/>
    </xf>
    <xf numFmtId="0" fontId="4" fillId="6" borderId="16" xfId="0" applyFont="1" applyFill="1" applyBorder="1" applyAlignment="1">
      <alignment horizontal="left" vertical="center"/>
    </xf>
    <xf numFmtId="0" fontId="4" fillId="6" borderId="16" xfId="0" applyFont="1" applyFill="1" applyBorder="1" applyAlignment="1">
      <alignment horizontal="right"/>
    </xf>
    <xf numFmtId="164" fontId="4" fillId="6" borderId="16" xfId="0" applyNumberFormat="1" applyFont="1" applyFill="1" applyBorder="1" applyAlignment="1">
      <alignment horizontal="right"/>
    </xf>
    <xf numFmtId="4" fontId="4" fillId="6" borderId="16" xfId="0" applyNumberFormat="1" applyFont="1" applyFill="1" applyBorder="1" applyAlignment="1">
      <alignment horizontal="right"/>
    </xf>
    <xf numFmtId="0" fontId="4" fillId="4" borderId="16" xfId="0" applyFont="1" applyFill="1" applyBorder="1"/>
    <xf numFmtId="4" fontId="4" fillId="4" borderId="16" xfId="0" applyNumberFormat="1" applyFont="1" applyFill="1" applyBorder="1" applyAlignment="1">
      <alignment horizontal="right"/>
    </xf>
    <xf numFmtId="164" fontId="4" fillId="4" borderId="16" xfId="0" applyNumberFormat="1" applyFont="1" applyFill="1" applyBorder="1" applyAlignment="1">
      <alignment horizontal="right"/>
    </xf>
    <xf numFmtId="0" fontId="4" fillId="6" borderId="26" xfId="0" applyFont="1" applyFill="1" applyBorder="1" applyAlignment="1">
      <alignment wrapText="1"/>
    </xf>
    <xf numFmtId="4" fontId="4" fillId="6" borderId="16" xfId="0" applyNumberFormat="1" applyFont="1" applyFill="1" applyBorder="1" applyAlignment="1">
      <alignment horizontal="right" wrapText="1"/>
    </xf>
    <xf numFmtId="4" fontId="4" fillId="0" borderId="16" xfId="0" applyNumberFormat="1" applyFont="1" applyBorder="1" applyAlignment="1">
      <alignment horizontal="right" wrapText="1"/>
    </xf>
    <xf numFmtId="4" fontId="4" fillId="6" borderId="27" xfId="0" applyNumberFormat="1" applyFont="1" applyFill="1" applyBorder="1" applyAlignment="1">
      <alignment horizontal="right" wrapText="1"/>
    </xf>
    <xf numFmtId="164" fontId="4" fillId="6" borderId="28" xfId="0" applyNumberFormat="1" applyFont="1" applyFill="1" applyBorder="1" applyAlignment="1">
      <alignment horizontal="right" wrapText="1"/>
    </xf>
    <xf numFmtId="4" fontId="4" fillId="6" borderId="16" xfId="0" applyNumberFormat="1" applyFont="1" applyFill="1" applyBorder="1" applyAlignment="1">
      <alignment wrapText="1"/>
    </xf>
    <xf numFmtId="4" fontId="4" fillId="6" borderId="27" xfId="0" applyNumberFormat="1" applyFont="1" applyFill="1" applyBorder="1" applyAlignment="1">
      <alignment wrapText="1"/>
    </xf>
    <xf numFmtId="164" fontId="4" fillId="6" borderId="28" xfId="0" applyNumberFormat="1" applyFont="1" applyFill="1" applyBorder="1" applyAlignment="1">
      <alignment wrapText="1"/>
    </xf>
    <xf numFmtId="0" fontId="4" fillId="6" borderId="18" xfId="0" applyFont="1" applyFill="1" applyBorder="1"/>
    <xf numFmtId="164" fontId="4" fillId="6" borderId="19" xfId="0" applyNumberFormat="1" applyFont="1" applyFill="1" applyBorder="1" applyAlignment="1">
      <alignment horizontal="right"/>
    </xf>
    <xf numFmtId="0" fontId="7" fillId="4" borderId="18" xfId="0" applyFont="1" applyFill="1" applyBorder="1" applyAlignment="1">
      <alignment horizontal="right"/>
    </xf>
    <xf numFmtId="0" fontId="4" fillId="6" borderId="19" xfId="0" applyFont="1" applyFill="1" applyBorder="1" applyAlignment="1">
      <alignment horizontal="right"/>
    </xf>
    <xf numFmtId="0" fontId="7" fillId="5" borderId="18" xfId="0" applyFont="1" applyFill="1" applyBorder="1" applyAlignment="1">
      <alignment horizontal="right"/>
    </xf>
    <xf numFmtId="164" fontId="5" fillId="5" borderId="19" xfId="0" applyNumberFormat="1" applyFont="1" applyFill="1" applyBorder="1" applyAlignment="1">
      <alignment horizontal="right"/>
    </xf>
    <xf numFmtId="164" fontId="10" fillId="5" borderId="17" xfId="0" applyNumberFormat="1" applyFont="1" applyFill="1" applyBorder="1" applyAlignment="1">
      <alignment horizontal="center" vertical="center" wrapText="1"/>
    </xf>
    <xf numFmtId="164" fontId="9" fillId="2" borderId="17" xfId="0" applyNumberFormat="1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left" vertical="center"/>
    </xf>
    <xf numFmtId="164" fontId="5" fillId="2" borderId="28" xfId="0" applyNumberFormat="1" applyFont="1" applyFill="1" applyBorder="1" applyAlignment="1">
      <alignment horizontal="right"/>
    </xf>
    <xf numFmtId="0" fontId="6" fillId="6" borderId="23" xfId="0" applyFont="1" applyFill="1" applyBorder="1" applyAlignment="1">
      <alignment horizontal="center" vertical="center"/>
    </xf>
    <xf numFmtId="0" fontId="5" fillId="6" borderId="24" xfId="0" applyFont="1" applyFill="1" applyBorder="1" applyAlignment="1">
      <alignment horizontal="left" vertical="center"/>
    </xf>
    <xf numFmtId="0" fontId="5" fillId="6" borderId="25" xfId="0" applyFont="1" applyFill="1" applyBorder="1" applyAlignment="1">
      <alignment horizontal="left" vertical="center"/>
    </xf>
    <xf numFmtId="0" fontId="4" fillId="0" borderId="23" xfId="0" applyFont="1" applyBorder="1" applyAlignment="1">
      <alignment wrapText="1"/>
    </xf>
    <xf numFmtId="4" fontId="4" fillId="0" borderId="24" xfId="0" applyNumberFormat="1" applyFont="1" applyBorder="1" applyAlignment="1">
      <alignment wrapText="1"/>
    </xf>
    <xf numFmtId="164" fontId="4" fillId="0" borderId="16" xfId="0" applyNumberFormat="1" applyFont="1" applyBorder="1" applyAlignment="1">
      <alignment horizontal="right"/>
    </xf>
    <xf numFmtId="164" fontId="4" fillId="6" borderId="27" xfId="0" applyNumberFormat="1" applyFont="1" applyFill="1" applyBorder="1" applyAlignment="1">
      <alignment horizontal="right" wrapText="1"/>
    </xf>
    <xf numFmtId="164" fontId="4" fillId="0" borderId="16" xfId="0" applyNumberFormat="1" applyFont="1" applyBorder="1" applyAlignment="1">
      <alignment horizontal="right" wrapText="1"/>
    </xf>
    <xf numFmtId="0" fontId="4" fillId="0" borderId="24" xfId="0" applyFont="1" applyBorder="1" applyAlignment="1">
      <alignment horizontal="right" wrapText="1"/>
    </xf>
    <xf numFmtId="164" fontId="4" fillId="0" borderId="24" xfId="0" applyNumberFormat="1" applyFont="1" applyBorder="1" applyAlignment="1">
      <alignment horizontal="right" wrapText="1"/>
    </xf>
    <xf numFmtId="0" fontId="6" fillId="6" borderId="18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164" fontId="5" fillId="6" borderId="16" xfId="0" applyNumberFormat="1" applyFont="1" applyFill="1" applyBorder="1" applyAlignment="1">
      <alignment horizontal="right"/>
    </xf>
    <xf numFmtId="0" fontId="6" fillId="6" borderId="24" xfId="0" applyFont="1" applyFill="1" applyBorder="1" applyAlignment="1">
      <alignment horizontal="center" vertical="center"/>
    </xf>
    <xf numFmtId="164" fontId="5" fillId="6" borderId="24" xfId="0" applyNumberFormat="1" applyFont="1" applyFill="1" applyBorder="1" applyAlignment="1">
      <alignment horizontal="right"/>
    </xf>
    <xf numFmtId="0" fontId="7" fillId="2" borderId="27" xfId="0" applyFont="1" applyFill="1" applyBorder="1"/>
    <xf numFmtId="164" fontId="5" fillId="2" borderId="27" xfId="0" applyNumberFormat="1" applyFont="1" applyFill="1" applyBorder="1" applyAlignment="1">
      <alignment horizontal="right"/>
    </xf>
    <xf numFmtId="0" fontId="7" fillId="5" borderId="16" xfId="0" applyFont="1" applyFill="1" applyBorder="1" applyAlignment="1">
      <alignment horizontal="right"/>
    </xf>
    <xf numFmtId="164" fontId="5" fillId="5" borderId="16" xfId="0" applyNumberFormat="1" applyFont="1" applyFill="1" applyBorder="1" applyAlignment="1">
      <alignment horizontal="right"/>
    </xf>
    <xf numFmtId="0" fontId="7" fillId="4" borderId="16" xfId="0" applyFont="1" applyFill="1" applyBorder="1" applyAlignment="1">
      <alignment horizontal="right"/>
    </xf>
    <xf numFmtId="0" fontId="5" fillId="4" borderId="16" xfId="0" applyFont="1" applyFill="1" applyBorder="1" applyAlignment="1">
      <alignment horizontal="left" vertical="center"/>
    </xf>
    <xf numFmtId="164" fontId="5" fillId="4" borderId="16" xfId="0" applyNumberFormat="1" applyFont="1" applyFill="1" applyBorder="1" applyAlignment="1">
      <alignment horizontal="right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5" fillId="6" borderId="29" xfId="0" applyFont="1" applyFill="1" applyBorder="1" applyAlignment="1">
      <alignment horizontal="left"/>
    </xf>
    <xf numFmtId="0" fontId="5" fillId="6" borderId="30" xfId="0" applyFont="1" applyFill="1" applyBorder="1" applyAlignment="1">
      <alignment horizontal="left"/>
    </xf>
    <xf numFmtId="0" fontId="5" fillId="6" borderId="31" xfId="0" applyFont="1" applyFill="1" applyBorder="1" applyAlignment="1">
      <alignment horizontal="left"/>
    </xf>
    <xf numFmtId="0" fontId="10" fillId="6" borderId="7" xfId="0" applyFont="1" applyFill="1" applyBorder="1" applyAlignment="1">
      <alignment horizontal="left" vertical="center" wrapText="1"/>
    </xf>
    <xf numFmtId="0" fontId="10" fillId="6" borderId="8" xfId="0" applyFont="1" applyFill="1" applyBorder="1" applyAlignment="1">
      <alignment horizontal="left" vertical="center" wrapText="1"/>
    </xf>
    <xf numFmtId="0" fontId="10" fillId="6" borderId="9" xfId="0" applyFont="1" applyFill="1" applyBorder="1" applyAlignment="1">
      <alignment horizontal="left" vertical="center" wrapText="1"/>
    </xf>
    <xf numFmtId="0" fontId="10" fillId="7" borderId="7" xfId="0" applyFont="1" applyFill="1" applyBorder="1" applyAlignment="1">
      <alignment horizontal="left" vertical="center" wrapText="1"/>
    </xf>
    <xf numFmtId="0" fontId="10" fillId="7" borderId="8" xfId="0" applyFont="1" applyFill="1" applyBorder="1" applyAlignment="1">
      <alignment horizontal="left" vertical="center" wrapText="1"/>
    </xf>
    <xf numFmtId="0" fontId="10" fillId="7" borderId="9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10" fillId="4" borderId="7" xfId="0" applyFont="1" applyFill="1" applyBorder="1" applyAlignment="1">
      <alignment horizontal="left" vertical="center" wrapText="1"/>
    </xf>
    <xf numFmtId="0" fontId="10" fillId="4" borderId="8" xfId="0" applyFont="1" applyFill="1" applyBorder="1" applyAlignment="1">
      <alignment horizontal="left" vertical="center" wrapText="1"/>
    </xf>
    <xf numFmtId="0" fontId="10" fillId="4" borderId="9" xfId="0" applyFont="1" applyFill="1" applyBorder="1" applyAlignment="1">
      <alignment horizontal="left" vertical="center" wrapText="1"/>
    </xf>
    <xf numFmtId="0" fontId="5" fillId="6" borderId="7" xfId="0" applyFont="1" applyFill="1" applyBorder="1" applyAlignment="1">
      <alignment horizontal="left" vertical="center" wrapText="1"/>
    </xf>
    <xf numFmtId="0" fontId="5" fillId="6" borderId="8" xfId="0" applyFont="1" applyFill="1" applyBorder="1" applyAlignment="1">
      <alignment horizontal="left" vertical="center" wrapText="1"/>
    </xf>
    <xf numFmtId="0" fontId="5" fillId="6" borderId="9" xfId="0" applyFont="1" applyFill="1" applyBorder="1" applyAlignment="1">
      <alignment horizontal="left" vertical="center" wrapText="1"/>
    </xf>
    <xf numFmtId="0" fontId="10" fillId="5" borderId="7" xfId="0" applyFont="1" applyFill="1" applyBorder="1" applyAlignment="1">
      <alignment horizontal="left" vertical="center" wrapText="1"/>
    </xf>
    <xf numFmtId="0" fontId="10" fillId="5" borderId="8" xfId="0" applyFont="1" applyFill="1" applyBorder="1" applyAlignment="1">
      <alignment horizontal="left" vertical="center" wrapText="1"/>
    </xf>
    <xf numFmtId="0" fontId="10" fillId="5" borderId="9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7"/>
  <sheetViews>
    <sheetView tabSelected="1" topLeftCell="A7" zoomScaleNormal="100" workbookViewId="0">
      <selection activeCell="K128" sqref="K128"/>
    </sheetView>
  </sheetViews>
  <sheetFormatPr defaultRowHeight="14.25"/>
  <cols>
    <col min="1" max="1" width="61.875" customWidth="1"/>
    <col min="2" max="2" width="8" customWidth="1"/>
    <col min="3" max="3" width="10.375" customWidth="1"/>
    <col min="4" max="4" width="15.375" customWidth="1"/>
    <col min="5" max="5" width="24.875" customWidth="1"/>
  </cols>
  <sheetData>
    <row r="1" spans="1:5">
      <c r="A1" s="162" t="s">
        <v>77</v>
      </c>
      <c r="B1" s="162"/>
      <c r="C1" s="162"/>
      <c r="D1" s="162"/>
      <c r="E1" s="162"/>
    </row>
    <row r="2" spans="1:5">
      <c r="A2" s="3"/>
      <c r="B2" s="3"/>
      <c r="C2" s="3"/>
      <c r="D2" s="3"/>
      <c r="E2" s="3"/>
    </row>
    <row r="3" spans="1:5">
      <c r="A3" s="161" t="s">
        <v>13</v>
      </c>
      <c r="B3" s="2"/>
      <c r="C3" s="4"/>
      <c r="D3" s="163" t="s">
        <v>14</v>
      </c>
      <c r="E3" s="163"/>
    </row>
    <row r="4" spans="1:5">
      <c r="A4" s="163" t="s">
        <v>16</v>
      </c>
      <c r="B4" s="163"/>
      <c r="C4" s="4"/>
      <c r="D4" s="163" t="s">
        <v>17</v>
      </c>
      <c r="E4" s="163"/>
    </row>
    <row r="5" spans="1:5">
      <c r="A5" s="163" t="s">
        <v>79</v>
      </c>
      <c r="B5" s="163"/>
      <c r="C5" s="4"/>
      <c r="D5" s="163" t="s">
        <v>21</v>
      </c>
      <c r="E5" s="163"/>
    </row>
    <row r="6" spans="1:5">
      <c r="A6" s="163" t="s">
        <v>80</v>
      </c>
      <c r="B6" s="163"/>
      <c r="C6" s="4"/>
      <c r="D6" s="194" t="s">
        <v>22</v>
      </c>
      <c r="E6" s="194"/>
    </row>
    <row r="7" spans="1:5">
      <c r="A7" s="163" t="s">
        <v>81</v>
      </c>
      <c r="B7" s="163"/>
      <c r="C7" s="4"/>
      <c r="D7" s="163" t="s">
        <v>23</v>
      </c>
      <c r="E7" s="163"/>
    </row>
    <row r="8" spans="1:5">
      <c r="A8" s="4"/>
      <c r="B8" s="4"/>
      <c r="C8" s="4"/>
      <c r="D8" s="4"/>
      <c r="E8" s="4"/>
    </row>
    <row r="9" spans="1:5">
      <c r="A9" s="4"/>
      <c r="B9" s="4"/>
      <c r="C9" s="4"/>
      <c r="D9" s="4"/>
      <c r="E9" s="4"/>
    </row>
    <row r="10" spans="1:5">
      <c r="A10" s="195" t="s">
        <v>15</v>
      </c>
      <c r="B10" s="195"/>
      <c r="C10" s="195"/>
      <c r="D10" s="195"/>
      <c r="E10" s="195"/>
    </row>
    <row r="11" spans="1:5">
      <c r="A11" s="195" t="s">
        <v>78</v>
      </c>
      <c r="B11" s="195"/>
      <c r="C11" s="195"/>
      <c r="D11" s="195"/>
      <c r="E11" s="195"/>
    </row>
    <row r="12" spans="1:5">
      <c r="A12" s="4"/>
      <c r="B12" s="4"/>
      <c r="C12" s="4"/>
      <c r="D12" s="4"/>
      <c r="E12" s="4"/>
    </row>
    <row r="13" spans="1:5" ht="15" thickBot="1">
      <c r="A13" s="4"/>
      <c r="B13" s="4"/>
      <c r="C13" s="4"/>
      <c r="D13" s="4"/>
      <c r="E13" s="4"/>
    </row>
    <row r="14" spans="1:5" ht="21" thickBot="1">
      <c r="A14" s="179" t="s">
        <v>82</v>
      </c>
      <c r="B14" s="180"/>
      <c r="C14" s="180"/>
      <c r="D14" s="180"/>
      <c r="E14" s="181"/>
    </row>
    <row r="15" spans="1:5" ht="45.6" customHeight="1" thickBot="1">
      <c r="A15" s="176" t="s">
        <v>83</v>
      </c>
      <c r="B15" s="177"/>
      <c r="C15" s="177"/>
      <c r="D15" s="177"/>
      <c r="E15" s="178"/>
    </row>
    <row r="16" spans="1:5" ht="14.1" customHeight="1">
      <c r="A16" s="170" t="s">
        <v>84</v>
      </c>
      <c r="B16" s="171"/>
      <c r="C16" s="171"/>
      <c r="D16" s="171"/>
      <c r="E16" s="172"/>
    </row>
    <row r="17" spans="1:5" ht="117" customHeight="1" thickBot="1">
      <c r="A17" s="173"/>
      <c r="B17" s="174"/>
      <c r="C17" s="174"/>
      <c r="D17" s="174"/>
      <c r="E17" s="175"/>
    </row>
    <row r="18" spans="1:5" ht="27" customHeight="1" thickBot="1">
      <c r="A18" s="10" t="s">
        <v>24</v>
      </c>
      <c r="B18" s="11" t="s">
        <v>0</v>
      </c>
      <c r="C18" s="11" t="s">
        <v>1</v>
      </c>
      <c r="D18" s="11" t="s">
        <v>2</v>
      </c>
      <c r="E18" s="12" t="s">
        <v>3</v>
      </c>
    </row>
    <row r="19" spans="1:5" ht="24" customHeight="1" thickBot="1">
      <c r="A19" s="167" t="s">
        <v>25</v>
      </c>
      <c r="B19" s="168"/>
      <c r="C19" s="168"/>
      <c r="D19" s="168"/>
      <c r="E19" s="169"/>
    </row>
    <row r="20" spans="1:5">
      <c r="A20" s="50" t="s">
        <v>4</v>
      </c>
      <c r="B20" s="51"/>
      <c r="C20" s="51"/>
      <c r="D20" s="51"/>
      <c r="E20" s="52"/>
    </row>
    <row r="21" spans="1:5" ht="15">
      <c r="A21" s="32" t="s">
        <v>25</v>
      </c>
      <c r="B21" s="13" t="s">
        <v>5</v>
      </c>
      <c r="C21" s="14">
        <v>526.5</v>
      </c>
      <c r="D21" s="144">
        <v>250</v>
      </c>
      <c r="E21" s="33">
        <f>C21*D21</f>
        <v>131625</v>
      </c>
    </row>
    <row r="22" spans="1:5" ht="15">
      <c r="A22" s="35" t="s">
        <v>6</v>
      </c>
      <c r="B22" s="16"/>
      <c r="C22" s="17"/>
      <c r="D22" s="17"/>
      <c r="E22" s="36">
        <f>SUM(E21:E21)</f>
        <v>131625</v>
      </c>
    </row>
    <row r="23" spans="1:5" ht="15">
      <c r="A23" s="79" t="s">
        <v>9</v>
      </c>
      <c r="B23" s="76"/>
      <c r="C23" s="77"/>
      <c r="D23" s="77"/>
      <c r="E23" s="78"/>
    </row>
    <row r="24" spans="1:5" ht="15">
      <c r="A24" s="80" t="s">
        <v>43</v>
      </c>
      <c r="B24" s="81" t="s">
        <v>5</v>
      </c>
      <c r="C24" s="113">
        <f>C21*1.1</f>
        <v>579.15000000000009</v>
      </c>
      <c r="D24" s="112">
        <f>956.14*1.1</f>
        <v>1051.7540000000001</v>
      </c>
      <c r="E24" s="111">
        <f>C24*D24</f>
        <v>609123.32910000021</v>
      </c>
    </row>
    <row r="25" spans="1:5" ht="15">
      <c r="A25" s="80" t="s">
        <v>28</v>
      </c>
      <c r="B25" s="81" t="s">
        <v>11</v>
      </c>
      <c r="C25" s="113">
        <v>1580</v>
      </c>
      <c r="D25" s="112">
        <v>3.2</v>
      </c>
      <c r="E25" s="111">
        <f t="shared" ref="E25:E26" si="0">C25*D25</f>
        <v>5056</v>
      </c>
    </row>
    <row r="26" spans="1:5" ht="15">
      <c r="A26" s="80" t="s">
        <v>29</v>
      </c>
      <c r="B26" s="81" t="s">
        <v>11</v>
      </c>
      <c r="C26" s="113">
        <f>C21*5</f>
        <v>2632.5</v>
      </c>
      <c r="D26" s="112">
        <v>3</v>
      </c>
      <c r="E26" s="111">
        <f t="shared" si="0"/>
        <v>7897.5</v>
      </c>
    </row>
    <row r="27" spans="1:5" ht="15">
      <c r="A27" s="85" t="s">
        <v>10</v>
      </c>
      <c r="B27" s="82"/>
      <c r="C27" s="83"/>
      <c r="D27" s="83"/>
      <c r="E27" s="84">
        <f>SUM(E24:E26)</f>
        <v>622076.82910000021</v>
      </c>
    </row>
    <row r="28" spans="1:5" ht="15.75" thickBot="1">
      <c r="A28" s="53" t="s">
        <v>7</v>
      </c>
      <c r="B28" s="54"/>
      <c r="C28" s="54"/>
      <c r="D28" s="54"/>
      <c r="E28" s="55">
        <f>E22+E27</f>
        <v>753701.82910000021</v>
      </c>
    </row>
    <row r="29" spans="1:5" ht="44.1" customHeight="1" thickBot="1">
      <c r="A29" s="199" t="s">
        <v>75</v>
      </c>
      <c r="B29" s="200"/>
      <c r="C29" s="200"/>
      <c r="D29" s="200"/>
      <c r="E29" s="201"/>
    </row>
    <row r="30" spans="1:5" ht="14.45" customHeight="1">
      <c r="A30" s="139" t="s">
        <v>4</v>
      </c>
      <c r="B30" s="140"/>
      <c r="C30" s="140"/>
      <c r="D30" s="140"/>
      <c r="E30" s="141"/>
    </row>
    <row r="31" spans="1:5" ht="15" customHeight="1">
      <c r="A31" s="129" t="s">
        <v>26</v>
      </c>
      <c r="B31" s="87" t="s">
        <v>8</v>
      </c>
      <c r="C31" s="117">
        <v>63</v>
      </c>
      <c r="D31" s="116">
        <v>100</v>
      </c>
      <c r="E31" s="130">
        <f>C31*D31</f>
        <v>6300</v>
      </c>
    </row>
    <row r="32" spans="1:5" ht="15" customHeight="1">
      <c r="A32" s="129" t="s">
        <v>76</v>
      </c>
      <c r="B32" s="87" t="s">
        <v>8</v>
      </c>
      <c r="C32" s="117">
        <v>116</v>
      </c>
      <c r="D32" s="116">
        <v>100</v>
      </c>
      <c r="E32" s="130">
        <f>C32*D32</f>
        <v>11600</v>
      </c>
    </row>
    <row r="33" spans="1:5" ht="15" customHeight="1">
      <c r="A33" s="131" t="s">
        <v>6</v>
      </c>
      <c r="B33" s="118"/>
      <c r="C33" s="119"/>
      <c r="D33" s="120"/>
      <c r="E33" s="36">
        <f>SUM(E31:E32)</f>
        <v>17900</v>
      </c>
    </row>
    <row r="34" spans="1:5" ht="15" customHeight="1">
      <c r="A34" s="149" t="s">
        <v>9</v>
      </c>
      <c r="B34" s="86"/>
      <c r="C34" s="114"/>
      <c r="D34" s="115"/>
      <c r="E34" s="132"/>
    </row>
    <row r="35" spans="1:5" ht="29.45" customHeight="1">
      <c r="A35" s="42" t="s">
        <v>30</v>
      </c>
      <c r="B35" s="87" t="s">
        <v>8</v>
      </c>
      <c r="C35" s="117">
        <v>63</v>
      </c>
      <c r="D35" s="116">
        <v>420</v>
      </c>
      <c r="E35" s="130">
        <f>C35*D35</f>
        <v>26460</v>
      </c>
    </row>
    <row r="36" spans="1:5" ht="15" customHeight="1">
      <c r="A36" s="129" t="s">
        <v>31</v>
      </c>
      <c r="B36" s="87" t="s">
        <v>11</v>
      </c>
      <c r="C36" s="117">
        <f>C35*5</f>
        <v>315</v>
      </c>
      <c r="D36" s="116">
        <v>3.1</v>
      </c>
      <c r="E36" s="130">
        <f>C36*D36</f>
        <v>976.5</v>
      </c>
    </row>
    <row r="37" spans="1:5" ht="15" customHeight="1">
      <c r="A37" s="133" t="s">
        <v>10</v>
      </c>
      <c r="B37" s="88"/>
      <c r="C37" s="88"/>
      <c r="D37" s="88"/>
      <c r="E37" s="134">
        <f>SUM(E35:E36)</f>
        <v>27436.5</v>
      </c>
    </row>
    <row r="38" spans="1:5" ht="19.5" customHeight="1" thickBot="1">
      <c r="A38" s="53" t="s">
        <v>7</v>
      </c>
      <c r="B38" s="137"/>
      <c r="C38" s="137"/>
      <c r="D38" s="137"/>
      <c r="E38" s="138">
        <f>E33+E37</f>
        <v>45336.5</v>
      </c>
    </row>
    <row r="39" spans="1:5" ht="19.5" customHeight="1" thickBot="1">
      <c r="A39" s="182" t="s">
        <v>44</v>
      </c>
      <c r="B39" s="183"/>
      <c r="C39" s="183"/>
      <c r="D39" s="183"/>
      <c r="E39" s="184"/>
    </row>
    <row r="40" spans="1:5" ht="19.5" customHeight="1">
      <c r="A40" s="152" t="s">
        <v>4</v>
      </c>
      <c r="B40" s="140"/>
      <c r="C40" s="140"/>
      <c r="D40" s="140"/>
      <c r="E40" s="153"/>
    </row>
    <row r="41" spans="1:5" ht="19.5" customHeight="1">
      <c r="A41" s="87" t="s">
        <v>45</v>
      </c>
      <c r="B41" s="87" t="s">
        <v>8</v>
      </c>
      <c r="C41" s="117">
        <v>27</v>
      </c>
      <c r="D41" s="116">
        <v>400</v>
      </c>
      <c r="E41" s="116">
        <f>C41*D41</f>
        <v>10800</v>
      </c>
    </row>
    <row r="42" spans="1:5" ht="19.5" customHeight="1">
      <c r="A42" s="87" t="s">
        <v>46</v>
      </c>
      <c r="B42" s="87" t="s">
        <v>8</v>
      </c>
      <c r="C42" s="117">
        <v>27</v>
      </c>
      <c r="D42" s="116">
        <v>500</v>
      </c>
      <c r="E42" s="116">
        <f t="shared" ref="E42:E43" si="1">C42*D42</f>
        <v>13500</v>
      </c>
    </row>
    <row r="43" spans="1:5" ht="19.5" customHeight="1">
      <c r="A43" s="87" t="s">
        <v>47</v>
      </c>
      <c r="B43" s="87" t="s">
        <v>8</v>
      </c>
      <c r="C43" s="117">
        <v>27</v>
      </c>
      <c r="D43" s="116">
        <v>200</v>
      </c>
      <c r="E43" s="116">
        <f t="shared" si="1"/>
        <v>5400</v>
      </c>
    </row>
    <row r="44" spans="1:5" ht="19.5" customHeight="1">
      <c r="A44" s="158" t="s">
        <v>6</v>
      </c>
      <c r="B44" s="159"/>
      <c r="C44" s="159"/>
      <c r="D44" s="159"/>
      <c r="E44" s="160">
        <f>SUM(E41:E43)</f>
        <v>29700</v>
      </c>
    </row>
    <row r="45" spans="1:5" ht="19.5" customHeight="1">
      <c r="A45" s="150" t="s">
        <v>9</v>
      </c>
      <c r="B45" s="86"/>
      <c r="C45" s="86"/>
      <c r="D45" s="86"/>
      <c r="E45" s="151"/>
    </row>
    <row r="46" spans="1:5" ht="19.5" customHeight="1">
      <c r="A46" s="87" t="s">
        <v>48</v>
      </c>
      <c r="B46" s="87" t="s">
        <v>8</v>
      </c>
      <c r="C46" s="117">
        <v>27</v>
      </c>
      <c r="D46" s="116">
        <v>670</v>
      </c>
      <c r="E46" s="116">
        <f>C46*D46</f>
        <v>18090</v>
      </c>
    </row>
    <row r="47" spans="1:5" ht="19.5" customHeight="1">
      <c r="A47" s="87" t="s">
        <v>49</v>
      </c>
      <c r="B47" s="87" t="s">
        <v>5</v>
      </c>
      <c r="C47" s="117">
        <v>4</v>
      </c>
      <c r="D47" s="116"/>
      <c r="E47" s="116">
        <f t="shared" ref="E47:E49" si="2">C47*D47</f>
        <v>0</v>
      </c>
    </row>
    <row r="48" spans="1:5" ht="19.5" customHeight="1">
      <c r="A48" s="87" t="s">
        <v>50</v>
      </c>
      <c r="B48" s="87" t="s">
        <v>11</v>
      </c>
      <c r="C48" s="117">
        <f>C46*5</f>
        <v>135</v>
      </c>
      <c r="D48" s="116"/>
      <c r="E48" s="116">
        <f t="shared" si="2"/>
        <v>0</v>
      </c>
    </row>
    <row r="49" spans="1:5" ht="19.5" customHeight="1">
      <c r="A49" s="87" t="s">
        <v>51</v>
      </c>
      <c r="B49" s="87" t="s">
        <v>11</v>
      </c>
      <c r="C49" s="117">
        <f>C46*5</f>
        <v>135</v>
      </c>
      <c r="D49" s="116"/>
      <c r="E49" s="116">
        <f t="shared" si="2"/>
        <v>0</v>
      </c>
    </row>
    <row r="50" spans="1:5" ht="19.5" customHeight="1">
      <c r="A50" s="156" t="s">
        <v>10</v>
      </c>
      <c r="B50" s="88"/>
      <c r="C50" s="88"/>
      <c r="D50" s="88"/>
      <c r="E50" s="157">
        <f>SUM(E46:E49)</f>
        <v>18090</v>
      </c>
    </row>
    <row r="51" spans="1:5" ht="19.5" customHeight="1" thickBot="1">
      <c r="A51" s="154" t="s">
        <v>7</v>
      </c>
      <c r="B51" s="137"/>
      <c r="C51" s="137"/>
      <c r="D51" s="137"/>
      <c r="E51" s="155">
        <f>E44+E50</f>
        <v>47790</v>
      </c>
    </row>
    <row r="52" spans="1:5" ht="31.5" customHeight="1" thickBot="1">
      <c r="A52" s="164" t="s">
        <v>27</v>
      </c>
      <c r="B52" s="165"/>
      <c r="C52" s="165"/>
      <c r="D52" s="165"/>
      <c r="E52" s="166"/>
    </row>
    <row r="53" spans="1:5" ht="15">
      <c r="A53" s="56" t="s">
        <v>4</v>
      </c>
      <c r="B53" s="57"/>
      <c r="C53" s="58"/>
      <c r="D53" s="59"/>
      <c r="E53" s="60"/>
    </row>
    <row r="54" spans="1:5" ht="15">
      <c r="A54" s="34" t="s">
        <v>32</v>
      </c>
      <c r="B54" s="15" t="s">
        <v>5</v>
      </c>
      <c r="C54" s="122">
        <f>C21</f>
        <v>526.5</v>
      </c>
      <c r="D54" s="146">
        <v>60</v>
      </c>
      <c r="E54" s="38">
        <f>C54*D54</f>
        <v>31590</v>
      </c>
    </row>
    <row r="55" spans="1:5" ht="15">
      <c r="A55" s="35" t="s">
        <v>6</v>
      </c>
      <c r="B55" s="19"/>
      <c r="C55" s="20"/>
      <c r="D55" s="21"/>
      <c r="E55" s="39">
        <f>SUM(E54:E54)</f>
        <v>31590</v>
      </c>
    </row>
    <row r="56" spans="1:5" ht="15">
      <c r="A56" s="37" t="s">
        <v>9</v>
      </c>
      <c r="B56" s="15"/>
      <c r="C56" s="22"/>
      <c r="D56" s="18"/>
      <c r="E56" s="38"/>
    </row>
    <row r="57" spans="1:5" ht="15">
      <c r="A57" s="34" t="s">
        <v>33</v>
      </c>
      <c r="B57" s="15" t="s">
        <v>5</v>
      </c>
      <c r="C57" s="123">
        <f>C54*1.11</f>
        <v>584.41500000000008</v>
      </c>
      <c r="D57" s="146"/>
      <c r="E57" s="38">
        <f>C57*D57</f>
        <v>0</v>
      </c>
    </row>
    <row r="58" spans="1:5" ht="15">
      <c r="A58" s="34" t="s">
        <v>34</v>
      </c>
      <c r="B58" s="15" t="s">
        <v>11</v>
      </c>
      <c r="C58" s="123">
        <v>10</v>
      </c>
      <c r="D58" s="146"/>
      <c r="E58" s="38">
        <f>C58*D58</f>
        <v>0</v>
      </c>
    </row>
    <row r="59" spans="1:5" ht="15">
      <c r="A59" s="40" t="s">
        <v>10</v>
      </c>
      <c r="B59" s="23"/>
      <c r="C59" s="24"/>
      <c r="D59" s="25"/>
      <c r="E59" s="41">
        <f>SUM(E57:E58)</f>
        <v>0</v>
      </c>
    </row>
    <row r="60" spans="1:5" ht="15.75" thickBot="1">
      <c r="A60" s="61" t="s">
        <v>7</v>
      </c>
      <c r="B60" s="62"/>
      <c r="C60" s="63"/>
      <c r="D60" s="64"/>
      <c r="E60" s="65">
        <f>E55+E59</f>
        <v>31590</v>
      </c>
    </row>
    <row r="61" spans="1:5" ht="16.5" thickBot="1">
      <c r="A61" s="167" t="s">
        <v>58</v>
      </c>
      <c r="B61" s="168"/>
      <c r="C61" s="168"/>
      <c r="D61" s="168"/>
      <c r="E61" s="169"/>
    </row>
    <row r="62" spans="1:5" ht="15">
      <c r="A62" s="56" t="s">
        <v>4</v>
      </c>
      <c r="B62" s="57"/>
      <c r="C62" s="66"/>
      <c r="D62" s="59"/>
      <c r="E62" s="60"/>
    </row>
    <row r="63" spans="1:5" ht="30">
      <c r="A63" s="34" t="s">
        <v>58</v>
      </c>
      <c r="B63" s="15" t="s">
        <v>5</v>
      </c>
      <c r="C63" s="122">
        <f>C21</f>
        <v>526.5</v>
      </c>
      <c r="D63" s="146">
        <v>400</v>
      </c>
      <c r="E63" s="38">
        <f>C63*D63</f>
        <v>210600</v>
      </c>
    </row>
    <row r="64" spans="1:5" ht="15">
      <c r="A64" s="34" t="s">
        <v>19</v>
      </c>
      <c r="B64" s="15" t="s">
        <v>5</v>
      </c>
      <c r="C64" s="122">
        <f>C21</f>
        <v>526.5</v>
      </c>
      <c r="D64" s="146">
        <v>50</v>
      </c>
      <c r="E64" s="38">
        <f>C64*D64</f>
        <v>26325</v>
      </c>
    </row>
    <row r="65" spans="1:5" ht="15">
      <c r="A65" s="35" t="s">
        <v>6</v>
      </c>
      <c r="B65" s="19"/>
      <c r="C65" s="20"/>
      <c r="D65" s="21"/>
      <c r="E65" s="39">
        <f>SUM(E63:E64)</f>
        <v>236925</v>
      </c>
    </row>
    <row r="66" spans="1:5" ht="15">
      <c r="A66" s="92" t="s">
        <v>9</v>
      </c>
      <c r="B66" s="89"/>
      <c r="C66" s="96"/>
      <c r="D66" s="90"/>
      <c r="E66" s="91"/>
    </row>
    <row r="67" spans="1:5" ht="30">
      <c r="A67" s="121" t="s">
        <v>52</v>
      </c>
      <c r="B67" s="89" t="s">
        <v>42</v>
      </c>
      <c r="C67" s="124">
        <f>C21*1.03*0.08</f>
        <v>43.383599999999994</v>
      </c>
      <c r="D67" s="145"/>
      <c r="E67" s="125">
        <f>C67*D67</f>
        <v>0</v>
      </c>
    </row>
    <row r="68" spans="1:5" ht="30">
      <c r="A68" s="121" t="s">
        <v>53</v>
      </c>
      <c r="B68" s="89" t="s">
        <v>42</v>
      </c>
      <c r="C68" s="124">
        <f>C21*1.03*0.04</f>
        <v>21.691799999999997</v>
      </c>
      <c r="D68" s="145"/>
      <c r="E68" s="125">
        <f>C68*D68</f>
        <v>0</v>
      </c>
    </row>
    <row r="69" spans="1:5" ht="30">
      <c r="A69" s="121" t="s">
        <v>54</v>
      </c>
      <c r="B69" s="89" t="s">
        <v>11</v>
      </c>
      <c r="C69" s="124">
        <v>1580</v>
      </c>
      <c r="D69" s="145"/>
      <c r="E69" s="125">
        <f>C69*D69</f>
        <v>0</v>
      </c>
    </row>
    <row r="70" spans="1:5" ht="15">
      <c r="A70" s="85" t="s">
        <v>10</v>
      </c>
      <c r="B70" s="93"/>
      <c r="C70" s="97"/>
      <c r="D70" s="94"/>
      <c r="E70" s="95">
        <f>SUM(E67:E69)</f>
        <v>0</v>
      </c>
    </row>
    <row r="71" spans="1:5" ht="15.75" thickBot="1">
      <c r="A71" s="61" t="s">
        <v>7</v>
      </c>
      <c r="B71" s="62"/>
      <c r="C71" s="62"/>
      <c r="D71" s="62"/>
      <c r="E71" s="65">
        <f>E65+E70</f>
        <v>236925</v>
      </c>
    </row>
    <row r="72" spans="1:5" ht="16.5" thickBot="1">
      <c r="A72" s="167" t="s">
        <v>35</v>
      </c>
      <c r="B72" s="168"/>
      <c r="C72" s="168"/>
      <c r="D72" s="168"/>
      <c r="E72" s="169"/>
    </row>
    <row r="73" spans="1:5" ht="15">
      <c r="A73" s="56" t="s">
        <v>4</v>
      </c>
      <c r="B73" s="57"/>
      <c r="C73" s="57"/>
      <c r="D73" s="57"/>
      <c r="E73" s="69"/>
    </row>
    <row r="74" spans="1:5" ht="45">
      <c r="A74" s="34" t="s">
        <v>73</v>
      </c>
      <c r="B74" s="15" t="s">
        <v>5</v>
      </c>
      <c r="C74" s="126">
        <f>C76-C75</f>
        <v>310.61</v>
      </c>
      <c r="D74" s="146">
        <v>400</v>
      </c>
      <c r="E74" s="43">
        <f>C74*D74</f>
        <v>124244</v>
      </c>
    </row>
    <row r="75" spans="1:5" ht="45">
      <c r="A75" s="34" t="s">
        <v>74</v>
      </c>
      <c r="B75" s="15" t="s">
        <v>5</v>
      </c>
      <c r="C75" s="126">
        <f>50.12+165.77</f>
        <v>215.89000000000001</v>
      </c>
      <c r="D75" s="146">
        <v>500</v>
      </c>
      <c r="E75" s="43">
        <f>C75*D75</f>
        <v>107945.00000000001</v>
      </c>
    </row>
    <row r="76" spans="1:5" ht="30">
      <c r="A76" s="34" t="s">
        <v>72</v>
      </c>
      <c r="B76" s="15" t="s">
        <v>5</v>
      </c>
      <c r="C76" s="126">
        <f>526.5</f>
        <v>526.5</v>
      </c>
      <c r="D76" s="146">
        <v>50</v>
      </c>
      <c r="E76" s="43">
        <f>C76*D76</f>
        <v>26325</v>
      </c>
    </row>
    <row r="77" spans="1:5" ht="15">
      <c r="A77" s="35" t="s">
        <v>6</v>
      </c>
      <c r="B77" s="19"/>
      <c r="C77" s="26"/>
      <c r="D77" s="21"/>
      <c r="E77" s="44">
        <f>SUM(E74:E76)</f>
        <v>258514</v>
      </c>
    </row>
    <row r="78" spans="1:5" ht="15">
      <c r="A78" s="92" t="s">
        <v>9</v>
      </c>
      <c r="B78" s="89"/>
      <c r="C78" s="98"/>
      <c r="D78" s="90"/>
      <c r="E78" s="99"/>
    </row>
    <row r="79" spans="1:5" ht="15">
      <c r="A79" s="75"/>
      <c r="B79" s="89"/>
      <c r="C79" s="98"/>
      <c r="D79" s="90"/>
      <c r="E79" s="99"/>
    </row>
    <row r="80" spans="1:5" ht="15">
      <c r="A80" s="121" t="s">
        <v>59</v>
      </c>
      <c r="B80" s="89" t="s">
        <v>5</v>
      </c>
      <c r="C80" s="127">
        <f>C74*1.15</f>
        <v>357.20150000000001</v>
      </c>
      <c r="D80" s="145"/>
      <c r="E80" s="128">
        <f>C80*D80</f>
        <v>0</v>
      </c>
    </row>
    <row r="81" spans="1:8" ht="30">
      <c r="A81" s="121" t="s">
        <v>54</v>
      </c>
      <c r="B81" s="89" t="s">
        <v>11</v>
      </c>
      <c r="C81" s="127">
        <v>2633</v>
      </c>
      <c r="D81" s="145"/>
      <c r="E81" s="128">
        <f>C81*D81</f>
        <v>0</v>
      </c>
    </row>
    <row r="82" spans="1:8" ht="15">
      <c r="A82" s="85" t="s">
        <v>10</v>
      </c>
      <c r="B82" s="93"/>
      <c r="C82" s="100"/>
      <c r="D82" s="94"/>
      <c r="E82" s="101">
        <f>SUM(E80:E81)</f>
        <v>0</v>
      </c>
    </row>
    <row r="83" spans="1:8" ht="15.75" thickBot="1">
      <c r="A83" s="61" t="s">
        <v>7</v>
      </c>
      <c r="B83" s="70"/>
      <c r="C83" s="70"/>
      <c r="D83" s="70"/>
      <c r="E83" s="68">
        <f>E77+E82</f>
        <v>258514</v>
      </c>
    </row>
    <row r="84" spans="1:8" ht="16.5" thickBot="1">
      <c r="A84" s="167" t="s">
        <v>55</v>
      </c>
      <c r="B84" s="168"/>
      <c r="C84" s="168"/>
      <c r="D84" s="168"/>
      <c r="E84" s="169"/>
    </row>
    <row r="85" spans="1:8" ht="15">
      <c r="A85" s="56" t="s">
        <v>4</v>
      </c>
      <c r="B85" s="57"/>
      <c r="C85" s="57"/>
      <c r="D85" s="147"/>
      <c r="E85" s="69"/>
    </row>
    <row r="86" spans="1:8" ht="30">
      <c r="A86" s="142" t="s">
        <v>56</v>
      </c>
      <c r="B86" s="57" t="s">
        <v>8</v>
      </c>
      <c r="C86" s="143">
        <v>27</v>
      </c>
      <c r="D86" s="148">
        <v>200</v>
      </c>
      <c r="E86" s="67">
        <f>C86*D86</f>
        <v>5400</v>
      </c>
    </row>
    <row r="87" spans="1:8" ht="34.5" customHeight="1">
      <c r="A87" s="34" t="s">
        <v>57</v>
      </c>
      <c r="B87" s="15" t="s">
        <v>8</v>
      </c>
      <c r="C87" s="126">
        <v>63</v>
      </c>
      <c r="D87" s="146">
        <v>650</v>
      </c>
      <c r="E87" s="43">
        <f>C87*D87</f>
        <v>40950</v>
      </c>
      <c r="F87" s="1"/>
      <c r="G87" s="1"/>
      <c r="H87" s="1"/>
    </row>
    <row r="88" spans="1:8" ht="15">
      <c r="A88" s="35" t="s">
        <v>6</v>
      </c>
      <c r="B88" s="19"/>
      <c r="C88" s="26"/>
      <c r="D88" s="28"/>
      <c r="E88" s="44">
        <f>SUM(E86:E87)</f>
        <v>46350</v>
      </c>
      <c r="F88" s="1"/>
      <c r="G88" s="1"/>
      <c r="H88" s="1"/>
    </row>
    <row r="89" spans="1:8" ht="15">
      <c r="A89" s="92" t="s">
        <v>9</v>
      </c>
      <c r="B89" s="89"/>
      <c r="C89" s="98"/>
      <c r="D89" s="102"/>
      <c r="E89" s="99"/>
      <c r="F89" s="1"/>
      <c r="G89" s="1"/>
      <c r="H89" s="1"/>
    </row>
    <row r="90" spans="1:8" ht="15">
      <c r="A90" s="121" t="s">
        <v>59</v>
      </c>
      <c r="B90" s="89" t="s">
        <v>5</v>
      </c>
      <c r="C90" s="98">
        <f>C87*1*1.15</f>
        <v>72.449999999999989</v>
      </c>
      <c r="D90" s="145">
        <v>1200</v>
      </c>
      <c r="E90" s="128">
        <f>C90*D90</f>
        <v>86939.999999999985</v>
      </c>
      <c r="F90" s="1"/>
      <c r="G90" s="1"/>
      <c r="H90" s="1"/>
    </row>
    <row r="91" spans="1:8" ht="30">
      <c r="A91" s="121" t="s">
        <v>36</v>
      </c>
      <c r="B91" s="89" t="s">
        <v>5</v>
      </c>
      <c r="C91" s="98">
        <v>2</v>
      </c>
      <c r="D91" s="145">
        <v>1100</v>
      </c>
      <c r="E91" s="128">
        <f t="shared" ref="E91" si="3">C91*D91</f>
        <v>2200</v>
      </c>
      <c r="F91" s="1"/>
      <c r="G91" s="1"/>
      <c r="H91" s="1"/>
    </row>
    <row r="92" spans="1:8" ht="15">
      <c r="A92" s="121" t="s">
        <v>37</v>
      </c>
      <c r="B92" s="89" t="s">
        <v>8</v>
      </c>
      <c r="C92" s="127">
        <v>126</v>
      </c>
      <c r="D92" s="145">
        <v>115</v>
      </c>
      <c r="E92" s="128">
        <f>C92*D92</f>
        <v>14490</v>
      </c>
      <c r="F92" s="1"/>
      <c r="G92" s="1"/>
      <c r="H92" s="1"/>
    </row>
    <row r="93" spans="1:8" ht="15">
      <c r="A93" s="121" t="s">
        <v>38</v>
      </c>
      <c r="B93" s="89" t="s">
        <v>11</v>
      </c>
      <c r="C93" s="127">
        <f>C92*5</f>
        <v>630</v>
      </c>
      <c r="D93" s="145">
        <v>11</v>
      </c>
      <c r="E93" s="128">
        <f>C93*D93</f>
        <v>6930</v>
      </c>
      <c r="F93" s="1"/>
      <c r="G93" s="1"/>
      <c r="H93" s="1"/>
    </row>
    <row r="94" spans="1:8" ht="15.75">
      <c r="A94" s="85" t="s">
        <v>10</v>
      </c>
      <c r="B94" s="93"/>
      <c r="C94" s="100"/>
      <c r="D94" s="103"/>
      <c r="E94" s="104">
        <f>SUM(E90:E93)</f>
        <v>110559.99999999999</v>
      </c>
      <c r="F94" s="1"/>
      <c r="G94" s="1"/>
      <c r="H94" s="1"/>
    </row>
    <row r="95" spans="1:8" ht="15.75" thickBot="1">
      <c r="A95" s="61" t="s">
        <v>7</v>
      </c>
      <c r="B95" s="70"/>
      <c r="C95" s="71"/>
      <c r="D95" s="72"/>
      <c r="E95" s="68">
        <f>E88+E94</f>
        <v>156910</v>
      </c>
      <c r="F95" s="1"/>
      <c r="G95" s="1"/>
    </row>
    <row r="96" spans="1:8" ht="16.5" thickBot="1">
      <c r="A96" s="167" t="s">
        <v>60</v>
      </c>
      <c r="B96" s="168"/>
      <c r="C96" s="168"/>
      <c r="D96" s="168"/>
      <c r="E96" s="169"/>
    </row>
    <row r="97" spans="1:5" ht="15">
      <c r="A97" s="56" t="s">
        <v>4</v>
      </c>
      <c r="B97" s="57"/>
      <c r="C97" s="57"/>
      <c r="D97" s="57"/>
      <c r="E97" s="69"/>
    </row>
    <row r="98" spans="1:5" ht="30">
      <c r="A98" s="34" t="s">
        <v>67</v>
      </c>
      <c r="B98" s="15" t="s">
        <v>8</v>
      </c>
      <c r="C98" s="31">
        <v>33.5</v>
      </c>
      <c r="D98" s="146">
        <v>1000</v>
      </c>
      <c r="E98" s="43">
        <f>C98*D98</f>
        <v>33500</v>
      </c>
    </row>
    <row r="99" spans="1:5" ht="15">
      <c r="A99" s="35" t="s">
        <v>6</v>
      </c>
      <c r="B99" s="29"/>
      <c r="C99" s="30"/>
      <c r="D99" s="27"/>
      <c r="E99" s="44">
        <f>SUM(E98:E98)</f>
        <v>33500</v>
      </c>
    </row>
    <row r="100" spans="1:5" ht="15">
      <c r="A100" s="92" t="s">
        <v>9</v>
      </c>
      <c r="B100" s="108"/>
      <c r="C100" s="109"/>
      <c r="D100" s="110"/>
      <c r="E100" s="99"/>
    </row>
    <row r="101" spans="1:5" ht="15">
      <c r="A101" s="121" t="s">
        <v>66</v>
      </c>
      <c r="B101" s="89" t="s">
        <v>11</v>
      </c>
      <c r="C101" s="127">
        <v>10</v>
      </c>
      <c r="D101" s="145">
        <v>1300</v>
      </c>
      <c r="E101" s="128">
        <f>C101*D101</f>
        <v>13000</v>
      </c>
    </row>
    <row r="102" spans="1:5" ht="15">
      <c r="A102" s="121" t="s">
        <v>61</v>
      </c>
      <c r="B102" s="89" t="s">
        <v>11</v>
      </c>
      <c r="C102" s="127">
        <v>54</v>
      </c>
      <c r="D102" s="145">
        <v>430</v>
      </c>
      <c r="E102" s="128">
        <f t="shared" ref="E102:E109" si="4">C102*D102</f>
        <v>23220</v>
      </c>
    </row>
    <row r="103" spans="1:5" ht="15">
      <c r="A103" s="121" t="s">
        <v>62</v>
      </c>
      <c r="B103" s="89" t="s">
        <v>11</v>
      </c>
      <c r="C103" s="127">
        <v>2</v>
      </c>
      <c r="D103" s="145">
        <v>170</v>
      </c>
      <c r="E103" s="128">
        <f t="shared" si="4"/>
        <v>340</v>
      </c>
    </row>
    <row r="104" spans="1:5" ht="15">
      <c r="A104" s="121" t="s">
        <v>63</v>
      </c>
      <c r="B104" s="89" t="s">
        <v>11</v>
      </c>
      <c r="C104" s="127">
        <v>2</v>
      </c>
      <c r="D104" s="145">
        <v>515</v>
      </c>
      <c r="E104" s="128">
        <f t="shared" si="4"/>
        <v>1030</v>
      </c>
    </row>
    <row r="105" spans="1:5" ht="15.75">
      <c r="A105" s="121" t="s">
        <v>70</v>
      </c>
      <c r="B105" s="89" t="s">
        <v>11</v>
      </c>
      <c r="C105" s="127">
        <v>2</v>
      </c>
      <c r="D105" s="145">
        <v>373</v>
      </c>
      <c r="E105" s="128">
        <f t="shared" si="4"/>
        <v>746</v>
      </c>
    </row>
    <row r="106" spans="1:5" ht="15">
      <c r="A106" s="121" t="s">
        <v>68</v>
      </c>
      <c r="B106" s="89" t="s">
        <v>11</v>
      </c>
      <c r="C106" s="127">
        <v>2</v>
      </c>
      <c r="D106" s="145">
        <v>1210</v>
      </c>
      <c r="E106" s="128">
        <f t="shared" si="4"/>
        <v>2420</v>
      </c>
    </row>
    <row r="107" spans="1:5" ht="15">
      <c r="A107" s="121" t="s">
        <v>69</v>
      </c>
      <c r="B107" s="89" t="s">
        <v>11</v>
      </c>
      <c r="C107" s="127">
        <v>2</v>
      </c>
      <c r="D107" s="145">
        <v>460</v>
      </c>
      <c r="E107" s="128">
        <f t="shared" si="4"/>
        <v>920</v>
      </c>
    </row>
    <row r="108" spans="1:5" ht="15">
      <c r="A108" s="121" t="s">
        <v>64</v>
      </c>
      <c r="B108" s="89" t="s">
        <v>11</v>
      </c>
      <c r="C108" s="127">
        <v>6</v>
      </c>
      <c r="D108" s="145">
        <v>150</v>
      </c>
      <c r="E108" s="128">
        <f t="shared" si="4"/>
        <v>900</v>
      </c>
    </row>
    <row r="109" spans="1:5" ht="15">
      <c r="A109" s="121" t="s">
        <v>65</v>
      </c>
      <c r="B109" s="89" t="s">
        <v>11</v>
      </c>
      <c r="C109" s="127">
        <v>1</v>
      </c>
      <c r="D109" s="145">
        <v>1500</v>
      </c>
      <c r="E109" s="128">
        <f t="shared" si="4"/>
        <v>1500</v>
      </c>
    </row>
    <row r="110" spans="1:5" ht="15">
      <c r="A110" s="85" t="s">
        <v>10</v>
      </c>
      <c r="B110" s="105"/>
      <c r="C110" s="106"/>
      <c r="D110" s="107"/>
      <c r="E110" s="101">
        <f>SUM(E101:E109)</f>
        <v>44076</v>
      </c>
    </row>
    <row r="111" spans="1:5" ht="15.75" thickBot="1">
      <c r="A111" s="45" t="s">
        <v>7</v>
      </c>
      <c r="B111" s="46"/>
      <c r="C111" s="47"/>
      <c r="D111" s="48"/>
      <c r="E111" s="49">
        <f>E99+E110</f>
        <v>77576</v>
      </c>
    </row>
    <row r="112" spans="1:5" ht="42.6" customHeight="1" thickBot="1">
      <c r="A112" s="202" t="s">
        <v>39</v>
      </c>
      <c r="B112" s="203"/>
      <c r="C112" s="203"/>
      <c r="D112" s="204"/>
      <c r="E112" s="135">
        <f>SUM(E21,E31:E32,E41:E43,E54,E63:E64,E74:E76,E86:E87,E98)</f>
        <v>786104</v>
      </c>
    </row>
    <row r="113" spans="1:5" ht="22.5" customHeight="1" thickBot="1">
      <c r="A113" s="196" t="s">
        <v>20</v>
      </c>
      <c r="B113" s="197"/>
      <c r="C113" s="197"/>
      <c r="D113" s="198"/>
      <c r="E113" s="73">
        <f>SUM(E21,E31,E41:E43,E54,E63:E64,E74:E76,E86:E87,E98)</f>
        <v>774504</v>
      </c>
    </row>
    <row r="114" spans="1:5" ht="22.5" customHeight="1" thickBot="1">
      <c r="A114" s="185" t="s">
        <v>40</v>
      </c>
      <c r="B114" s="186"/>
      <c r="C114" s="186"/>
      <c r="D114" s="186"/>
      <c r="E114" s="187"/>
    </row>
    <row r="115" spans="1:5" ht="42.95" customHeight="1" thickBot="1">
      <c r="A115" s="5" t="s">
        <v>71</v>
      </c>
      <c r="B115" s="6" t="s">
        <v>18</v>
      </c>
      <c r="C115" s="7">
        <v>1</v>
      </c>
      <c r="D115" s="8">
        <v>50000</v>
      </c>
      <c r="E115" s="9">
        <f>C115*D115</f>
        <v>50000</v>
      </c>
    </row>
    <row r="116" spans="1:5" ht="39.950000000000003" customHeight="1" thickBot="1">
      <c r="A116" s="188" t="s">
        <v>41</v>
      </c>
      <c r="B116" s="189"/>
      <c r="C116" s="189"/>
      <c r="D116" s="190"/>
      <c r="E116" s="74">
        <f>SUM(E115:E115)</f>
        <v>50000</v>
      </c>
    </row>
    <row r="117" spans="1:5" ht="26.1" customHeight="1" thickBot="1">
      <c r="A117" s="191" t="s">
        <v>12</v>
      </c>
      <c r="B117" s="192"/>
      <c r="C117" s="192"/>
      <c r="D117" s="193"/>
      <c r="E117" s="136">
        <f>E112+E113+E116</f>
        <v>1610608</v>
      </c>
    </row>
  </sheetData>
  <mergeCells count="28">
    <mergeCell ref="A114:E114"/>
    <mergeCell ref="A116:D116"/>
    <mergeCell ref="A117:D117"/>
    <mergeCell ref="A96:E96"/>
    <mergeCell ref="D6:E6"/>
    <mergeCell ref="D7:E7"/>
    <mergeCell ref="A10:E10"/>
    <mergeCell ref="A11:E11"/>
    <mergeCell ref="A19:E19"/>
    <mergeCell ref="A113:D113"/>
    <mergeCell ref="A29:E29"/>
    <mergeCell ref="A112:D112"/>
    <mergeCell ref="A1:E1"/>
    <mergeCell ref="D3:E3"/>
    <mergeCell ref="D4:E4"/>
    <mergeCell ref="A52:E52"/>
    <mergeCell ref="A84:E84"/>
    <mergeCell ref="A72:E72"/>
    <mergeCell ref="A61:E61"/>
    <mergeCell ref="A16:E17"/>
    <mergeCell ref="A15:E15"/>
    <mergeCell ref="A14:E14"/>
    <mergeCell ref="D5:E5"/>
    <mergeCell ref="A39:E39"/>
    <mergeCell ref="A4:B4"/>
    <mergeCell ref="A5:B5"/>
    <mergeCell ref="A6:B6"/>
    <mergeCell ref="A7:B7"/>
  </mergeCells>
  <pageMargins left="0.7" right="0.7" top="0.75" bottom="0.75" header="0.3" footer="0.3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KRD KRD</dc:creator>
  <cp:lastModifiedBy>Пользователь</cp:lastModifiedBy>
  <cp:revision/>
  <cp:lastPrinted>2024-08-16T10:39:02Z</cp:lastPrinted>
  <dcterms:created xsi:type="dcterms:W3CDTF">2024-03-16T18:53:19Z</dcterms:created>
  <dcterms:modified xsi:type="dcterms:W3CDTF">2026-03-06T14:54:40Z</dcterms:modified>
</cp:coreProperties>
</file>