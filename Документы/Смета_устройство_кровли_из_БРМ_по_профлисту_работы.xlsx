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Моя папка\Личка1\Расчеты_\Для калькулятора\"/>
    </mc:Choice>
  </mc:AlternateContent>
  <xr:revisionPtr revIDLastSave="0" documentId="13_ncr:1_{FAEFD626-8D2F-46BE-B2AF-57E8E9EA55A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5" i="1" l="1"/>
  <c r="D185" i="1"/>
  <c r="D179" i="1"/>
  <c r="D165" i="1"/>
  <c r="D161" i="1"/>
  <c r="D157" i="1"/>
  <c r="D153" i="1"/>
  <c r="C128" i="1"/>
  <c r="C127" i="1"/>
  <c r="C119" i="1"/>
  <c r="C75" i="1"/>
  <c r="C115" i="1"/>
  <c r="C25" i="1"/>
  <c r="D142" i="1"/>
  <c r="D189" i="1" s="1"/>
  <c r="D138" i="1"/>
  <c r="D134" i="1"/>
  <c r="D133" i="1"/>
  <c r="D132" i="1"/>
  <c r="D128" i="1"/>
  <c r="D127" i="1"/>
  <c r="D123" i="1"/>
  <c r="D119" i="1"/>
  <c r="D115" i="1"/>
  <c r="D114" i="1"/>
  <c r="D113" i="1"/>
  <c r="C92" i="1"/>
  <c r="C91" i="1"/>
  <c r="C83" i="1"/>
  <c r="D107" i="1"/>
  <c r="D102" i="1"/>
  <c r="D98" i="1"/>
  <c r="D181" i="1" s="1"/>
  <c r="D97" i="1"/>
  <c r="D180" i="1" s="1"/>
  <c r="D96" i="1"/>
  <c r="D92" i="1"/>
  <c r="D91" i="1"/>
  <c r="D87" i="1"/>
  <c r="D169" i="1" s="1"/>
  <c r="D83" i="1"/>
  <c r="D79" i="1"/>
  <c r="D75" i="1"/>
  <c r="D74" i="1"/>
  <c r="D73" i="1"/>
  <c r="D72" i="1"/>
  <c r="C49" i="1"/>
  <c r="C50" i="1" s="1"/>
  <c r="C45" i="1"/>
  <c r="C29" i="1"/>
  <c r="E22" i="1" l="1"/>
  <c r="E23" i="1"/>
  <c r="E24" i="1"/>
  <c r="E25" i="1"/>
  <c r="E29" i="1"/>
  <c r="E30" i="1" s="1"/>
  <c r="C33" i="1"/>
  <c r="C41" i="1" s="1"/>
  <c r="E41" i="1" s="1"/>
  <c r="E42" i="1" s="1"/>
  <c r="E33" i="1"/>
  <c r="E34" i="1" s="1"/>
  <c r="E37" i="1"/>
  <c r="E38" i="1" s="1"/>
  <c r="E45" i="1"/>
  <c r="E46" i="1" s="1"/>
  <c r="E49" i="1"/>
  <c r="E50" i="1"/>
  <c r="E54" i="1"/>
  <c r="E55" i="1"/>
  <c r="E56" i="1"/>
  <c r="E57" i="1"/>
  <c r="E58" i="1"/>
  <c r="E62" i="1"/>
  <c r="E63" i="1" s="1"/>
  <c r="E66" i="1"/>
  <c r="E67" i="1" s="1"/>
  <c r="E72" i="1"/>
  <c r="E73" i="1"/>
  <c r="E74" i="1"/>
  <c r="E75" i="1"/>
  <c r="E79" i="1"/>
  <c r="E80" i="1" s="1"/>
  <c r="E83" i="1"/>
  <c r="E84" i="1" s="1"/>
  <c r="E87" i="1"/>
  <c r="E88" i="1" s="1"/>
  <c r="E91" i="1"/>
  <c r="E92" i="1"/>
  <c r="E93" i="1"/>
  <c r="E96" i="1"/>
  <c r="E97" i="1"/>
  <c r="E98" i="1"/>
  <c r="E102" i="1"/>
  <c r="E103" i="1"/>
  <c r="E106" i="1"/>
  <c r="E107" i="1"/>
  <c r="E113" i="1"/>
  <c r="E114" i="1"/>
  <c r="E115" i="1"/>
  <c r="E119" i="1"/>
  <c r="E120" i="1" s="1"/>
  <c r="E123" i="1"/>
  <c r="E124" i="1" s="1"/>
  <c r="E128" i="1"/>
  <c r="E132" i="1"/>
  <c r="E133" i="1"/>
  <c r="E134" i="1"/>
  <c r="E138" i="1"/>
  <c r="E139" i="1"/>
  <c r="E142" i="1"/>
  <c r="E143" i="1" s="1"/>
  <c r="E146" i="1"/>
  <c r="E147" i="1"/>
  <c r="E153" i="1"/>
  <c r="E154" i="1"/>
  <c r="E157" i="1"/>
  <c r="E158" i="1"/>
  <c r="C161" i="1"/>
  <c r="E161" i="1" s="1"/>
  <c r="E162" i="1" s="1"/>
  <c r="E165" i="1"/>
  <c r="E166" i="1" s="1"/>
  <c r="E169" i="1"/>
  <c r="E170" i="1" s="1"/>
  <c r="E173" i="1"/>
  <c r="E175" i="1"/>
  <c r="E179" i="1"/>
  <c r="E180" i="1"/>
  <c r="E181" i="1"/>
  <c r="E185" i="1"/>
  <c r="E186" i="1" s="1"/>
  <c r="E189" i="1"/>
  <c r="E190" i="1" s="1"/>
  <c r="E76" i="1" l="1"/>
  <c r="E108" i="1"/>
  <c r="E51" i="1"/>
  <c r="E26" i="1"/>
  <c r="E174" i="1"/>
  <c r="E176" i="1" s="1"/>
  <c r="E127" i="1"/>
  <c r="E129" i="1" s="1"/>
  <c r="E135" i="1"/>
  <c r="E59" i="1"/>
  <c r="E148" i="1"/>
  <c r="E182" i="1"/>
  <c r="E99" i="1"/>
  <c r="E149" i="1"/>
  <c r="E109" i="1"/>
  <c r="E68" i="1"/>
  <c r="E116" i="1"/>
  <c r="E191" i="1" l="1"/>
  <c r="E192" i="1"/>
  <c r="E195" i="1" s="1"/>
</calcChain>
</file>

<file path=xl/sharedStrings.xml><?xml version="1.0" encoding="utf-8"?>
<sst xmlns="http://schemas.openxmlformats.org/spreadsheetml/2006/main" count="259" uniqueCount="75">
  <si>
    <t>Ед.изм.</t>
  </si>
  <si>
    <t>Кол-во</t>
  </si>
  <si>
    <t>Цена за ед</t>
  </si>
  <si>
    <t>Сумма</t>
  </si>
  <si>
    <t>Работы:</t>
  </si>
  <si>
    <t>м2</t>
  </si>
  <si>
    <t>Итого за работы:</t>
  </si>
  <si>
    <t>ИТОГО по Разделу:</t>
  </si>
  <si>
    <t>м/п</t>
  </si>
  <si>
    <t>шт</t>
  </si>
  <si>
    <t>Устройство водоприемных воронок.</t>
  </si>
  <si>
    <t>Согласовано</t>
  </si>
  <si>
    <t>Утверждаю</t>
  </si>
  <si>
    <t xml:space="preserve">ИНН/ КПП </t>
  </si>
  <si>
    <t>Директор______________________  (Ф.И.О)</t>
  </si>
  <si>
    <t>СМЕТА №1</t>
  </si>
  <si>
    <t>«Подрядчик»</t>
  </si>
  <si>
    <t>«Заказчик»</t>
  </si>
  <si>
    <t>ООО «______________________________»</t>
  </si>
  <si>
    <t>Организационные расходы (доставка + накладные + подъемы и механизмы):</t>
  </si>
  <si>
    <t>м.п</t>
  </si>
  <si>
    <t>Подготовительные работы.</t>
  </si>
  <si>
    <t>Монтаж краевой кровельной планки</t>
  </si>
  <si>
    <t>ИТОГО по Разделам монтажные работы кровля из БРМ</t>
  </si>
  <si>
    <t>Наименование работ. Кровля из БРМ</t>
  </si>
  <si>
    <t>Устройство гидроизоляционного слоя кровли из битумосодержащего рулонного материала.</t>
  </si>
  <si>
    <t>Устройство примыкания гидроизоляции к стене высотой до 500 мм из битумосодержащего рулонного материала в два слоя.</t>
  </si>
  <si>
    <t>Устройство бортика (галтель)</t>
  </si>
  <si>
    <t>Монтаж кровельных аэраторов</t>
  </si>
  <si>
    <t>Итого общая сумма по всем разделам (Без НДС-20%):</t>
  </si>
  <si>
    <t>Монтаж кровли в осях: 6-22/А-И</t>
  </si>
  <si>
    <t>Устройство наплавляемой пароизоляции - Изоспан В.</t>
  </si>
  <si>
    <t>Устройство утеплителя из минераловатных плит - 150 мм.</t>
  </si>
  <si>
    <t>Устройство утеплителя в 2 слоя с перехлестом, толщиной 150мм.</t>
  </si>
  <si>
    <t>Устройство сборной стяжки в 2 слоя ЦСП в нахлест - 25 мм</t>
  </si>
  <si>
    <t>Устройство переходного бортика.</t>
  </si>
  <si>
    <t>Устройство сборной стяжки в 2 слоя ЦСП в нахлест - 25 мм.</t>
  </si>
  <si>
    <t>Механическое крепление гидроизоляционного слоя из рулонного материала Техноэласт Соло</t>
  </si>
  <si>
    <t>Монтаж гидроизоляционного покрытия из рулонного материала Техноэласт Соло</t>
  </si>
  <si>
    <t>Устройство усиления галтели, внутренних и внешних углов</t>
  </si>
  <si>
    <t>Монтаж гидроизоляционного покрытия на парапеты (и вент. шахты) до 500 мм из из полимеро-битумного наплавляемого материала в два слоя</t>
  </si>
  <si>
    <t xml:space="preserve">Устройство утепления и зашивка парапета из АЦЛ </t>
  </si>
  <si>
    <t>Устройство фахверковых стоек</t>
  </si>
  <si>
    <t>Устройство кровельных аэраторов.</t>
  </si>
  <si>
    <t>Устройство контруклонов</t>
  </si>
  <si>
    <t>Устройство контруклонов.</t>
  </si>
  <si>
    <t xml:space="preserve">Устройство L-образного профиля и профилей усиления (коньковые усиления, усиления ендов, усиления деф. шва) </t>
  </si>
  <si>
    <t>Устройство усиления мест воронок внутреннего водоотведения из оц. стали толщиной 0,5 мм</t>
  </si>
  <si>
    <t>Устройство заполнения гофр профлиста НГ утеплителем на длину 250 мм</t>
  </si>
  <si>
    <t>Подготовка поверхности (очистка поверхности)</t>
  </si>
  <si>
    <t>Монтаж кровли в осях: 14-19/А-А/3</t>
  </si>
  <si>
    <t>Устройство сборной стяжки в 2 слоя в нахлест - 20 мм</t>
  </si>
  <si>
    <t>Устройство сборной стяжки в 2 слоя ЦСП в нахлест - 20 мм.</t>
  </si>
  <si>
    <t>Монтаж воронок внутреннего водоотведения</t>
  </si>
  <si>
    <t>Монтаж внешнего водоотведения</t>
  </si>
  <si>
    <t>Монтаж кровли в осях: 1-6/А/3-И</t>
  </si>
  <si>
    <t>Устройство кровельного ограждения.</t>
  </si>
  <si>
    <t>Монтаж кровельного ограждения</t>
  </si>
  <si>
    <t xml:space="preserve">Монтаж примыканий к стойкам ограждение </t>
  </si>
  <si>
    <t>Монтаж кровли в осях: 17-21/И</t>
  </si>
  <si>
    <t>Праймирование основания</t>
  </si>
  <si>
    <t>Монтаж гидроизоляционного покрытия из рулонного материала Унифлекс (1ый слой)</t>
  </si>
  <si>
    <t>Монтаж гидроизоляционного покрытия из рулонного материала Техноэласт (2ой слой)</t>
  </si>
  <si>
    <t xml:space="preserve"> </t>
  </si>
  <si>
    <t>Монтаж пароизоляции (плоскость + заведение на парапет)</t>
  </si>
  <si>
    <t xml:space="preserve">Монтаж гидроизоляционного покрытия на парапеты (и вент. шахты) до 500 мм и карнизы из полимеро-битумного наплавляемого материала в два слоя </t>
  </si>
  <si>
    <t>Утилизация строительного мусора:</t>
  </si>
  <si>
    <t>ООО «СК-ЮГ»</t>
  </si>
  <si>
    <t>ИНН / КПП: 2312330110/ 231201001</t>
  </si>
  <si>
    <t>Ген. Директор________________  (Панюков А.А.)</t>
  </si>
  <si>
    <t>Приложение №1 к Договору подряда №__________ от __.__.2025 г.</t>
  </si>
  <si>
    <t xml:space="preserve"> по  Договору подряда  №2025.____ от ______2025 г.</t>
  </si>
  <si>
    <t xml:space="preserve">Наименование объекта: </t>
  </si>
  <si>
    <t xml:space="preserve">Адрес объекта: </t>
  </si>
  <si>
    <t xml:space="preserve">Данные крыши: Суммарная площадь кровель = 163 м2,
Примыкания к парапету и вертикальным конструкциям = 55 пог.м., 
Водоотведение парапетное = 4 шт.,
Аэраторы = 3 шт.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</si>
</sst>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9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wrapText="1"/>
    </xf>
    <xf numFmtId="0" fontId="3" fillId="0" borderId="13" xfId="0" applyFont="1" applyBorder="1"/>
    <xf numFmtId="0" fontId="6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164" fontId="4" fillId="0" borderId="13" xfId="0" applyNumberFormat="1" applyFont="1" applyBorder="1" applyAlignment="1">
      <alignment horizontal="right"/>
    </xf>
    <xf numFmtId="0" fontId="6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wrapText="1"/>
    </xf>
    <xf numFmtId="164" fontId="4" fillId="0" borderId="13" xfId="0" applyNumberFormat="1" applyFont="1" applyBorder="1" applyAlignment="1">
      <alignment horizontal="right" wrapText="1"/>
    </xf>
    <xf numFmtId="164" fontId="4" fillId="0" borderId="13" xfId="0" applyNumberFormat="1" applyFont="1" applyBorder="1" applyAlignment="1">
      <alignment wrapText="1"/>
    </xf>
    <xf numFmtId="0" fontId="5" fillId="0" borderId="14" xfId="0" applyFont="1" applyBorder="1" applyAlignment="1">
      <alignment vertical="center" wrapText="1"/>
    </xf>
    <xf numFmtId="0" fontId="3" fillId="0" borderId="2" xfId="0" applyFont="1" applyBorder="1"/>
    <xf numFmtId="0" fontId="3" fillId="0" borderId="15" xfId="0" applyFont="1" applyBorder="1"/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right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wrapText="1"/>
    </xf>
    <xf numFmtId="2" fontId="4" fillId="4" borderId="1" xfId="0" applyNumberFormat="1" applyFont="1" applyFill="1" applyBorder="1" applyAlignment="1">
      <alignment horizontal="right" wrapText="1"/>
    </xf>
    <xf numFmtId="164" fontId="4" fillId="4" borderId="1" xfId="0" applyNumberFormat="1" applyFont="1" applyFill="1" applyBorder="1" applyAlignment="1">
      <alignment horizontal="center" wrapText="1"/>
    </xf>
    <xf numFmtId="164" fontId="7" fillId="4" borderId="13" xfId="0" applyNumberFormat="1" applyFont="1" applyFill="1" applyBorder="1" applyAlignment="1">
      <alignment horizontal="right" wrapText="1"/>
    </xf>
    <xf numFmtId="2" fontId="4" fillId="4" borderId="1" xfId="0" applyNumberFormat="1" applyFont="1" applyFill="1" applyBorder="1" applyAlignment="1">
      <alignment wrapText="1"/>
    </xf>
    <xf numFmtId="164" fontId="7" fillId="4" borderId="13" xfId="0" applyNumberFormat="1" applyFont="1" applyFill="1" applyBorder="1" applyAlignment="1">
      <alignment wrapText="1"/>
    </xf>
    <xf numFmtId="164" fontId="4" fillId="4" borderId="1" xfId="0" applyNumberFormat="1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2" fontId="7" fillId="4" borderId="1" xfId="0" applyNumberFormat="1" applyFont="1" applyFill="1" applyBorder="1" applyAlignment="1">
      <alignment wrapText="1"/>
    </xf>
    <xf numFmtId="164" fontId="7" fillId="4" borderId="1" xfId="0" applyNumberFormat="1" applyFont="1" applyFill="1" applyBorder="1" applyAlignment="1">
      <alignment wrapText="1"/>
    </xf>
    <xf numFmtId="164" fontId="7" fillId="4" borderId="13" xfId="0" applyNumberFormat="1" applyFont="1" applyFill="1" applyBorder="1" applyAlignment="1">
      <alignment horizontal="right"/>
    </xf>
    <xf numFmtId="2" fontId="4" fillId="5" borderId="1" xfId="0" applyNumberFormat="1" applyFont="1" applyFill="1" applyBorder="1" applyAlignment="1">
      <alignment horizontal="right"/>
    </xf>
    <xf numFmtId="2" fontId="4" fillId="5" borderId="1" xfId="0" applyNumberFormat="1" applyFont="1" applyFill="1" applyBorder="1" applyAlignment="1">
      <alignment horizontal="right" wrapText="1"/>
    </xf>
    <xf numFmtId="2" fontId="4" fillId="5" borderId="1" xfId="0" applyNumberFormat="1" applyFont="1" applyFill="1" applyBorder="1" applyAlignment="1">
      <alignment wrapText="1"/>
    </xf>
    <xf numFmtId="4" fontId="4" fillId="0" borderId="1" xfId="0" applyNumberFormat="1" applyFont="1" applyBorder="1" applyAlignment="1">
      <alignment wrapText="1"/>
    </xf>
    <xf numFmtId="164" fontId="4" fillId="5" borderId="1" xfId="0" applyNumberFormat="1" applyFont="1" applyFill="1" applyBorder="1" applyAlignment="1">
      <alignment horizontal="center" wrapText="1"/>
    </xf>
    <xf numFmtId="2" fontId="4" fillId="5" borderId="1" xfId="0" applyNumberFormat="1" applyFont="1" applyFill="1" applyBorder="1" applyAlignment="1">
      <alignment horizontal="center" wrapText="1"/>
    </xf>
    <xf numFmtId="0" fontId="4" fillId="6" borderId="12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4" fillId="6" borderId="23" xfId="0" applyFont="1" applyFill="1" applyBorder="1" applyAlignment="1">
      <alignment wrapText="1"/>
    </xf>
    <xf numFmtId="0" fontId="4" fillId="6" borderId="24" xfId="0" applyFont="1" applyFill="1" applyBorder="1" applyAlignment="1">
      <alignment wrapText="1"/>
    </xf>
    <xf numFmtId="164" fontId="8" fillId="2" borderId="22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164" fontId="7" fillId="5" borderId="13" xfId="0" applyNumberFormat="1" applyFont="1" applyFill="1" applyBorder="1" applyAlignment="1">
      <alignment horizontal="right" wrapText="1"/>
    </xf>
    <xf numFmtId="0" fontId="6" fillId="5" borderId="12" xfId="0" applyFont="1" applyFill="1" applyBorder="1" applyAlignment="1">
      <alignment horizontal="center" wrapText="1"/>
    </xf>
    <xf numFmtId="0" fontId="4" fillId="5" borderId="12" xfId="0" applyFont="1" applyFill="1" applyBorder="1" applyAlignment="1">
      <alignment wrapText="1"/>
    </xf>
    <xf numFmtId="0" fontId="7" fillId="2" borderId="23" xfId="0" applyFont="1" applyFill="1" applyBorder="1" applyAlignment="1">
      <alignment horizontal="left" wrapText="1"/>
    </xf>
    <xf numFmtId="0" fontId="7" fillId="2" borderId="24" xfId="0" applyFont="1" applyFill="1" applyBorder="1" applyAlignment="1">
      <alignment wrapText="1"/>
    </xf>
    <xf numFmtId="2" fontId="7" fillId="2" borderId="24" xfId="0" applyNumberFormat="1" applyFont="1" applyFill="1" applyBorder="1" applyAlignment="1">
      <alignment wrapText="1"/>
    </xf>
    <xf numFmtId="164" fontId="7" fillId="2" borderId="24" xfId="0" applyNumberFormat="1" applyFont="1" applyFill="1" applyBorder="1" applyAlignment="1">
      <alignment wrapText="1"/>
    </xf>
    <xf numFmtId="164" fontId="7" fillId="2" borderId="25" xfId="0" applyNumberFormat="1" applyFont="1" applyFill="1" applyBorder="1" applyAlignment="1">
      <alignment wrapText="1"/>
    </xf>
    <xf numFmtId="0" fontId="7" fillId="5" borderId="24" xfId="0" applyFont="1" applyFill="1" applyBorder="1" applyAlignment="1">
      <alignment wrapText="1"/>
    </xf>
    <xf numFmtId="2" fontId="7" fillId="5" borderId="24" xfId="0" applyNumberFormat="1" applyFont="1" applyFill="1" applyBorder="1" applyAlignment="1">
      <alignment wrapText="1"/>
    </xf>
    <xf numFmtId="164" fontId="7" fillId="5" borderId="24" xfId="0" applyNumberFormat="1" applyFont="1" applyFill="1" applyBorder="1" applyAlignment="1">
      <alignment wrapText="1"/>
    </xf>
    <xf numFmtId="164" fontId="7" fillId="5" borderId="25" xfId="0" applyNumberFormat="1" applyFont="1" applyFill="1" applyBorder="1" applyAlignment="1">
      <alignment wrapText="1"/>
    </xf>
    <xf numFmtId="0" fontId="6" fillId="5" borderId="23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164" fontId="7" fillId="6" borderId="13" xfId="0" applyNumberFormat="1" applyFont="1" applyFill="1" applyBorder="1" applyAlignment="1">
      <alignment wrapText="1"/>
    </xf>
    <xf numFmtId="164" fontId="7" fillId="6" borderId="25" xfId="0" applyNumberFormat="1" applyFont="1" applyFill="1" applyBorder="1" applyAlignment="1">
      <alignment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left" wrapText="1"/>
    </xf>
    <xf numFmtId="0" fontId="5" fillId="0" borderId="20" xfId="0" applyFont="1" applyBorder="1" applyAlignment="1">
      <alignment horizontal="left" wrapText="1"/>
    </xf>
    <xf numFmtId="0" fontId="5" fillId="0" borderId="21" xfId="0" applyFont="1" applyBorder="1" applyAlignment="1">
      <alignment horizontal="left" wrapText="1"/>
    </xf>
    <xf numFmtId="0" fontId="7" fillId="4" borderId="19" xfId="0" applyFont="1" applyFill="1" applyBorder="1" applyAlignment="1">
      <alignment horizontal="left" wrapText="1"/>
    </xf>
    <xf numFmtId="0" fontId="7" fillId="4" borderId="20" xfId="0" applyFont="1" applyFill="1" applyBorder="1" applyAlignment="1">
      <alignment horizontal="left" wrapText="1"/>
    </xf>
    <xf numFmtId="0" fontId="7" fillId="4" borderId="26" xfId="0" applyFont="1" applyFill="1" applyBorder="1" applyAlignment="1">
      <alignment horizontal="left" wrapText="1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left" wrapText="1"/>
    </xf>
    <xf numFmtId="0" fontId="5" fillId="5" borderId="20" xfId="0" applyFont="1" applyFill="1" applyBorder="1" applyAlignment="1">
      <alignment horizontal="left" wrapText="1"/>
    </xf>
    <xf numFmtId="0" fontId="5" fillId="5" borderId="21" xfId="0" applyFont="1" applyFill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zoomScaleNormal="100" workbookViewId="0">
      <selection activeCell="L18" sqref="L18"/>
    </sheetView>
  </sheetViews>
  <sheetFormatPr defaultRowHeight="14.25"/>
  <cols>
    <col min="1" max="1" width="61.875" customWidth="1"/>
    <col min="2" max="2" width="8" customWidth="1"/>
    <col min="3" max="3" width="12.375" customWidth="1"/>
    <col min="4" max="4" width="13.125" customWidth="1"/>
    <col min="5" max="5" width="22.75" customWidth="1"/>
  </cols>
  <sheetData>
    <row r="1" spans="1:5">
      <c r="A1" s="85" t="s">
        <v>70</v>
      </c>
      <c r="B1" s="85"/>
      <c r="C1" s="85"/>
      <c r="D1" s="85"/>
      <c r="E1" s="85"/>
    </row>
    <row r="2" spans="1:5">
      <c r="A2" s="3"/>
      <c r="B2" s="3"/>
      <c r="C2" s="3"/>
      <c r="D2" s="3"/>
      <c r="E2" s="3"/>
    </row>
    <row r="3" spans="1:5">
      <c r="A3" s="66" t="s">
        <v>11</v>
      </c>
      <c r="B3" s="2"/>
      <c r="C3" s="4"/>
      <c r="D3" s="86" t="s">
        <v>12</v>
      </c>
      <c r="E3" s="86"/>
    </row>
    <row r="4" spans="1:5">
      <c r="A4" s="86" t="s">
        <v>16</v>
      </c>
      <c r="B4" s="86"/>
      <c r="C4" s="4"/>
      <c r="D4" s="86" t="s">
        <v>17</v>
      </c>
      <c r="E4" s="86"/>
    </row>
    <row r="5" spans="1:5">
      <c r="A5" s="86" t="s">
        <v>67</v>
      </c>
      <c r="B5" s="86"/>
      <c r="C5" s="4"/>
      <c r="D5" s="86" t="s">
        <v>18</v>
      </c>
      <c r="E5" s="86"/>
    </row>
    <row r="6" spans="1:5">
      <c r="A6" s="86" t="s">
        <v>68</v>
      </c>
      <c r="B6" s="86"/>
      <c r="C6" s="4"/>
      <c r="D6" s="97" t="s">
        <v>13</v>
      </c>
      <c r="E6" s="97"/>
    </row>
    <row r="7" spans="1:5">
      <c r="A7" s="86" t="s">
        <v>69</v>
      </c>
      <c r="B7" s="86"/>
      <c r="C7" s="4"/>
      <c r="D7" s="86" t="s">
        <v>14</v>
      </c>
      <c r="E7" s="86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84" t="s">
        <v>15</v>
      </c>
      <c r="B10" s="84"/>
      <c r="C10" s="84"/>
      <c r="D10" s="84"/>
      <c r="E10" s="84"/>
    </row>
    <row r="11" spans="1:5">
      <c r="A11" s="84" t="s">
        <v>71</v>
      </c>
      <c r="B11" s="84"/>
      <c r="C11" s="84"/>
      <c r="D11" s="84"/>
      <c r="E11" s="84"/>
    </row>
    <row r="12" spans="1:5">
      <c r="A12" s="4"/>
      <c r="B12" s="4"/>
      <c r="C12" s="4"/>
      <c r="D12" s="4"/>
      <c r="E12" s="4"/>
    </row>
    <row r="13" spans="1:5" ht="15" thickBot="1">
      <c r="A13" s="4"/>
      <c r="B13" s="4"/>
      <c r="C13" s="4"/>
      <c r="D13" s="4"/>
      <c r="E13" s="4"/>
    </row>
    <row r="14" spans="1:5" ht="29.1" customHeight="1" thickBot="1">
      <c r="A14" s="96" t="s">
        <v>72</v>
      </c>
      <c r="B14" s="94"/>
      <c r="C14" s="94"/>
      <c r="D14" s="94"/>
      <c r="E14" s="95"/>
    </row>
    <row r="15" spans="1:5" ht="15" thickBot="1">
      <c r="A15" s="93" t="s">
        <v>73</v>
      </c>
      <c r="B15" s="94"/>
      <c r="C15" s="94"/>
      <c r="D15" s="94"/>
      <c r="E15" s="95"/>
    </row>
    <row r="16" spans="1:5" ht="14.1" customHeight="1">
      <c r="A16" s="87" t="s">
        <v>74</v>
      </c>
      <c r="B16" s="88"/>
      <c r="C16" s="88"/>
      <c r="D16" s="88"/>
      <c r="E16" s="89"/>
    </row>
    <row r="17" spans="1:10" ht="66" customHeight="1" thickBot="1">
      <c r="A17" s="90"/>
      <c r="B17" s="91"/>
      <c r="C17" s="91"/>
      <c r="D17" s="91"/>
      <c r="E17" s="92"/>
      <c r="J17" t="s">
        <v>63</v>
      </c>
    </row>
    <row r="18" spans="1:10" ht="38.25" customHeight="1" thickBot="1">
      <c r="A18" s="24" t="s">
        <v>24</v>
      </c>
      <c r="B18" s="25" t="s">
        <v>0</v>
      </c>
      <c r="C18" s="25" t="s">
        <v>1</v>
      </c>
      <c r="D18" s="25" t="s">
        <v>2</v>
      </c>
      <c r="E18" s="26" t="s">
        <v>3</v>
      </c>
    </row>
    <row r="19" spans="1:10" ht="19.5" customHeight="1" thickBot="1">
      <c r="A19" s="78" t="s">
        <v>30</v>
      </c>
      <c r="B19" s="79"/>
      <c r="C19" s="79"/>
      <c r="D19" s="79"/>
      <c r="E19" s="80"/>
    </row>
    <row r="20" spans="1:10" ht="18" customHeight="1">
      <c r="A20" s="21" t="s">
        <v>21</v>
      </c>
      <c r="B20" s="22"/>
      <c r="C20" s="22"/>
      <c r="D20" s="22"/>
      <c r="E20" s="23"/>
    </row>
    <row r="21" spans="1:10">
      <c r="A21" s="14" t="s">
        <v>4</v>
      </c>
      <c r="B21" s="5"/>
      <c r="C21" s="5"/>
      <c r="D21" s="5"/>
      <c r="E21" s="13"/>
    </row>
    <row r="22" spans="1:10" ht="31.5" customHeight="1">
      <c r="A22" s="15" t="s">
        <v>49</v>
      </c>
      <c r="B22" s="7" t="s">
        <v>5</v>
      </c>
      <c r="C22" s="41">
        <v>2906</v>
      </c>
      <c r="D22" s="8">
        <v>50</v>
      </c>
      <c r="E22" s="16">
        <f>C22*D22</f>
        <v>145300</v>
      </c>
    </row>
    <row r="23" spans="1:10" ht="31.5" customHeight="1">
      <c r="A23" s="15" t="s">
        <v>46</v>
      </c>
      <c r="B23" s="7" t="s">
        <v>8</v>
      </c>
      <c r="C23" s="41">
        <v>852</v>
      </c>
      <c r="D23" s="8">
        <v>252</v>
      </c>
      <c r="E23" s="16">
        <f>C23*D23</f>
        <v>214704</v>
      </c>
    </row>
    <row r="24" spans="1:10" ht="31.5" customHeight="1">
      <c r="A24" s="15" t="s">
        <v>47</v>
      </c>
      <c r="B24" s="7" t="s">
        <v>5</v>
      </c>
      <c r="C24" s="41">
        <v>3.24</v>
      </c>
      <c r="D24" s="8">
        <v>840</v>
      </c>
      <c r="E24" s="16">
        <f>C24*D24</f>
        <v>2721.6000000000004</v>
      </c>
    </row>
    <row r="25" spans="1:10" ht="31.5" customHeight="1">
      <c r="A25" s="15" t="s">
        <v>48</v>
      </c>
      <c r="B25" s="7" t="s">
        <v>8</v>
      </c>
      <c r="C25" s="41">
        <f>C23*5*0.25</f>
        <v>1065</v>
      </c>
      <c r="D25" s="8">
        <v>252</v>
      </c>
      <c r="E25" s="16">
        <f>C25*D25</f>
        <v>268380</v>
      </c>
    </row>
    <row r="26" spans="1:10" ht="15">
      <c r="A26" s="27" t="s">
        <v>6</v>
      </c>
      <c r="B26" s="28"/>
      <c r="C26" s="29"/>
      <c r="D26" s="29"/>
      <c r="E26" s="40">
        <f>SUM(E22:E25)</f>
        <v>631105.6</v>
      </c>
    </row>
    <row r="27" spans="1:10" ht="15.75">
      <c r="A27" s="72" t="s">
        <v>31</v>
      </c>
      <c r="B27" s="73"/>
      <c r="C27" s="73"/>
      <c r="D27" s="73"/>
      <c r="E27" s="74"/>
    </row>
    <row r="28" spans="1:10" ht="15">
      <c r="A28" s="17" t="s">
        <v>4</v>
      </c>
      <c r="B28" s="6"/>
      <c r="C28" s="10"/>
      <c r="D28" s="9"/>
      <c r="E28" s="19"/>
    </row>
    <row r="29" spans="1:10" ht="15">
      <c r="A29" s="15" t="s">
        <v>64</v>
      </c>
      <c r="B29" s="6" t="s">
        <v>5</v>
      </c>
      <c r="C29" s="42">
        <f>C22+(163*0.15)</f>
        <v>2930.45</v>
      </c>
      <c r="D29" s="9">
        <v>231</v>
      </c>
      <c r="E29" s="19">
        <f>C29*D29</f>
        <v>676933.95</v>
      </c>
    </row>
    <row r="30" spans="1:10" ht="15">
      <c r="A30" s="27" t="s">
        <v>6</v>
      </c>
      <c r="B30" s="30"/>
      <c r="C30" s="31"/>
      <c r="D30" s="32"/>
      <c r="E30" s="33">
        <f>SUM(E29:E29)</f>
        <v>676933.95</v>
      </c>
    </row>
    <row r="31" spans="1:10" ht="15.75">
      <c r="A31" s="72" t="s">
        <v>32</v>
      </c>
      <c r="B31" s="73"/>
      <c r="C31" s="73"/>
      <c r="D31" s="73"/>
      <c r="E31" s="74"/>
    </row>
    <row r="32" spans="1:10" ht="15">
      <c r="A32" s="17" t="s">
        <v>4</v>
      </c>
      <c r="B32" s="6"/>
      <c r="C32" s="11"/>
      <c r="D32" s="9"/>
      <c r="E32" s="19"/>
    </row>
    <row r="33" spans="1:5" ht="30">
      <c r="A33" s="15" t="s">
        <v>33</v>
      </c>
      <c r="B33" s="6" t="s">
        <v>5</v>
      </c>
      <c r="C33" s="42">
        <f>C22</f>
        <v>2906</v>
      </c>
      <c r="D33" s="9">
        <v>320</v>
      </c>
      <c r="E33" s="19">
        <f>C33*D33</f>
        <v>929920</v>
      </c>
    </row>
    <row r="34" spans="1:5" ht="15">
      <c r="A34" s="27" t="s">
        <v>6</v>
      </c>
      <c r="B34" s="30"/>
      <c r="C34" s="31"/>
      <c r="D34" s="32"/>
      <c r="E34" s="33">
        <f>SUM(E33)</f>
        <v>929920</v>
      </c>
    </row>
    <row r="35" spans="1:5" ht="15.75">
      <c r="A35" s="81" t="s">
        <v>45</v>
      </c>
      <c r="B35" s="82"/>
      <c r="C35" s="82"/>
      <c r="D35" s="82"/>
      <c r="E35" s="83"/>
    </row>
    <row r="36" spans="1:5" ht="15">
      <c r="A36" s="54" t="s">
        <v>4</v>
      </c>
      <c r="B36" s="52"/>
      <c r="C36" s="42"/>
      <c r="D36" s="45"/>
      <c r="E36" s="53"/>
    </row>
    <row r="37" spans="1:5" ht="15">
      <c r="A37" s="55" t="s">
        <v>44</v>
      </c>
      <c r="B37" s="52" t="s">
        <v>5</v>
      </c>
      <c r="C37" s="42">
        <v>711.6</v>
      </c>
      <c r="D37" s="45">
        <v>460</v>
      </c>
      <c r="E37" s="53">
        <f>C37*D37</f>
        <v>327336</v>
      </c>
    </row>
    <row r="38" spans="1:5" ht="15">
      <c r="A38" s="27" t="s">
        <v>6</v>
      </c>
      <c r="B38" s="30"/>
      <c r="C38" s="31"/>
      <c r="D38" s="32"/>
      <c r="E38" s="33">
        <f>SUM(E37)</f>
        <v>327336</v>
      </c>
    </row>
    <row r="39" spans="1:5" ht="15.6" customHeight="1">
      <c r="A39" s="72" t="s">
        <v>36</v>
      </c>
      <c r="B39" s="73"/>
      <c r="C39" s="73"/>
      <c r="D39" s="73"/>
      <c r="E39" s="74"/>
    </row>
    <row r="40" spans="1:5" ht="15">
      <c r="A40" s="17" t="s">
        <v>4</v>
      </c>
      <c r="B40" s="6"/>
      <c r="C40" s="12"/>
      <c r="D40" s="9"/>
      <c r="E40" s="20"/>
    </row>
    <row r="41" spans="1:5" ht="15">
      <c r="A41" s="15" t="s">
        <v>34</v>
      </c>
      <c r="B41" s="6" t="s">
        <v>5</v>
      </c>
      <c r="C41" s="43">
        <f>C33</f>
        <v>2906</v>
      </c>
      <c r="D41" s="9">
        <v>525</v>
      </c>
      <c r="E41" s="20">
        <f>C41*D41</f>
        <v>1525650</v>
      </c>
    </row>
    <row r="42" spans="1:5" ht="15">
      <c r="A42" s="27" t="s">
        <v>6</v>
      </c>
      <c r="B42" s="30"/>
      <c r="C42" s="34"/>
      <c r="D42" s="32"/>
      <c r="E42" s="35">
        <f>SUM(E41)</f>
        <v>1525650</v>
      </c>
    </row>
    <row r="43" spans="1:5" ht="15.75">
      <c r="A43" s="72" t="s">
        <v>35</v>
      </c>
      <c r="B43" s="73"/>
      <c r="C43" s="73"/>
      <c r="D43" s="73"/>
      <c r="E43" s="74"/>
    </row>
    <row r="44" spans="1:5" ht="15">
      <c r="A44" s="17" t="s">
        <v>4</v>
      </c>
      <c r="B44" s="6"/>
      <c r="C44" s="12"/>
      <c r="D44" s="9"/>
      <c r="E44" s="20"/>
    </row>
    <row r="45" spans="1:5" ht="15">
      <c r="A45" s="15" t="s">
        <v>27</v>
      </c>
      <c r="B45" s="6" t="s">
        <v>20</v>
      </c>
      <c r="C45" s="43">
        <f>C23-36</f>
        <v>816</v>
      </c>
      <c r="D45" s="45">
        <v>250</v>
      </c>
      <c r="E45" s="20">
        <f>C45*D45</f>
        <v>204000</v>
      </c>
    </row>
    <row r="46" spans="1:5" ht="15">
      <c r="A46" s="27" t="s">
        <v>6</v>
      </c>
      <c r="B46" s="30"/>
      <c r="C46" s="34"/>
      <c r="D46" s="32"/>
      <c r="E46" s="35">
        <f>SUM(E45)</f>
        <v>204000</v>
      </c>
    </row>
    <row r="47" spans="1:5" ht="15.6" customHeight="1">
      <c r="A47" s="72" t="s">
        <v>25</v>
      </c>
      <c r="B47" s="73"/>
      <c r="C47" s="73"/>
      <c r="D47" s="73"/>
      <c r="E47" s="74"/>
    </row>
    <row r="48" spans="1:5" ht="15">
      <c r="A48" s="17" t="s">
        <v>4</v>
      </c>
      <c r="B48" s="6"/>
      <c r="C48" s="6"/>
      <c r="D48" s="6"/>
      <c r="E48" s="18"/>
    </row>
    <row r="49" spans="1:8" ht="30">
      <c r="A49" s="15" t="s">
        <v>38</v>
      </c>
      <c r="B49" s="6" t="s">
        <v>5</v>
      </c>
      <c r="C49" s="43">
        <f>C22</f>
        <v>2906</v>
      </c>
      <c r="D49" s="45">
        <v>315</v>
      </c>
      <c r="E49" s="20">
        <f>C49*D49</f>
        <v>915390</v>
      </c>
    </row>
    <row r="50" spans="1:8" ht="30">
      <c r="A50" s="15" t="s">
        <v>37</v>
      </c>
      <c r="B50" s="6" t="s">
        <v>5</v>
      </c>
      <c r="C50" s="43">
        <f>C49</f>
        <v>2906</v>
      </c>
      <c r="D50" s="45">
        <v>50</v>
      </c>
      <c r="E50" s="20">
        <f>C50*D50</f>
        <v>145300</v>
      </c>
    </row>
    <row r="51" spans="1:8" ht="15">
      <c r="A51" s="27" t="s">
        <v>6</v>
      </c>
      <c r="B51" s="30"/>
      <c r="C51" s="34"/>
      <c r="D51" s="32"/>
      <c r="E51" s="35">
        <f>SUM(E49:E50)</f>
        <v>1060690</v>
      </c>
    </row>
    <row r="52" spans="1:8" ht="33.6" customHeight="1">
      <c r="A52" s="72" t="s">
        <v>26</v>
      </c>
      <c r="B52" s="73"/>
      <c r="C52" s="73"/>
      <c r="D52" s="73"/>
      <c r="E52" s="74"/>
      <c r="F52" s="1"/>
      <c r="G52" s="1"/>
      <c r="H52" s="1"/>
    </row>
    <row r="53" spans="1:8" ht="15">
      <c r="A53" s="17" t="s">
        <v>4</v>
      </c>
      <c r="B53" s="6"/>
      <c r="C53" s="6"/>
      <c r="D53" s="6"/>
      <c r="E53" s="18"/>
      <c r="F53" s="1"/>
      <c r="G53" s="1"/>
      <c r="H53" s="1"/>
    </row>
    <row r="54" spans="1:8" ht="15">
      <c r="A54" s="15" t="s">
        <v>41</v>
      </c>
      <c r="B54" s="6" t="s">
        <v>8</v>
      </c>
      <c r="C54" s="12">
        <v>264</v>
      </c>
      <c r="D54" s="9">
        <v>600</v>
      </c>
      <c r="E54" s="20">
        <f>C54*D54</f>
        <v>158400</v>
      </c>
      <c r="F54" s="1"/>
      <c r="G54" s="1"/>
      <c r="H54" s="1"/>
    </row>
    <row r="55" spans="1:8" ht="15">
      <c r="A55" s="15" t="s">
        <v>39</v>
      </c>
      <c r="B55" s="6" t="s">
        <v>8</v>
      </c>
      <c r="C55" s="43">
        <v>55</v>
      </c>
      <c r="D55" s="45">
        <v>150</v>
      </c>
      <c r="E55" s="20">
        <f>C55*D55</f>
        <v>8250</v>
      </c>
      <c r="F55" s="1"/>
      <c r="G55" s="1"/>
      <c r="H55" s="1"/>
    </row>
    <row r="56" spans="1:8" ht="45">
      <c r="A56" s="15" t="s">
        <v>40</v>
      </c>
      <c r="B56" s="6" t="s">
        <v>8</v>
      </c>
      <c r="C56" s="43">
        <v>55</v>
      </c>
      <c r="D56" s="45">
        <v>700</v>
      </c>
      <c r="E56" s="20">
        <f>C56*D56</f>
        <v>38500</v>
      </c>
      <c r="F56" s="1"/>
      <c r="G56" s="1"/>
      <c r="H56" s="1"/>
    </row>
    <row r="57" spans="1:8" ht="15">
      <c r="A57" s="15" t="s">
        <v>22</v>
      </c>
      <c r="B57" s="6" t="s">
        <v>8</v>
      </c>
      <c r="C57" s="43">
        <v>336</v>
      </c>
      <c r="D57" s="45">
        <v>150</v>
      </c>
      <c r="E57" s="20">
        <f>C57*D57</f>
        <v>50400</v>
      </c>
      <c r="F57" s="1"/>
      <c r="G57" s="1"/>
      <c r="H57" s="1"/>
    </row>
    <row r="58" spans="1:8" ht="15">
      <c r="A58" s="15" t="s">
        <v>42</v>
      </c>
      <c r="B58" s="6" t="s">
        <v>9</v>
      </c>
      <c r="C58" s="43">
        <v>64</v>
      </c>
      <c r="D58" s="45">
        <v>2500</v>
      </c>
      <c r="E58" s="20">
        <f>C58*D58</f>
        <v>160000</v>
      </c>
      <c r="F58" s="1"/>
      <c r="G58" s="1"/>
      <c r="H58" s="1"/>
    </row>
    <row r="59" spans="1:8" ht="15">
      <c r="A59" s="27" t="s">
        <v>6</v>
      </c>
      <c r="B59" s="30"/>
      <c r="C59" s="34"/>
      <c r="D59" s="36"/>
      <c r="E59" s="35">
        <f>SUM(E54:E58)</f>
        <v>415550</v>
      </c>
      <c r="F59" s="1"/>
      <c r="G59" s="1"/>
      <c r="H59" s="1"/>
    </row>
    <row r="60" spans="1:8" ht="15.75">
      <c r="A60" s="72" t="s">
        <v>43</v>
      </c>
      <c r="B60" s="73"/>
      <c r="C60" s="73"/>
      <c r="D60" s="73"/>
      <c r="E60" s="74"/>
      <c r="F60" s="1"/>
      <c r="G60" s="1"/>
    </row>
    <row r="61" spans="1:8" ht="15">
      <c r="A61" s="17" t="s">
        <v>4</v>
      </c>
      <c r="B61" s="6"/>
      <c r="C61" s="6"/>
      <c r="D61" s="6"/>
      <c r="E61" s="18"/>
      <c r="F61" s="1"/>
      <c r="G61" s="1"/>
    </row>
    <row r="62" spans="1:8" ht="15">
      <c r="A62" s="15" t="s">
        <v>28</v>
      </c>
      <c r="B62" s="6" t="s">
        <v>9</v>
      </c>
      <c r="C62" s="43">
        <v>12</v>
      </c>
      <c r="D62" s="45">
        <v>2500</v>
      </c>
      <c r="E62" s="20">
        <f>C62*D62</f>
        <v>30000</v>
      </c>
      <c r="F62" s="1"/>
      <c r="G62" s="1"/>
    </row>
    <row r="63" spans="1:8" ht="15">
      <c r="A63" s="27" t="s">
        <v>6</v>
      </c>
      <c r="B63" s="30"/>
      <c r="C63" s="34"/>
      <c r="D63" s="36"/>
      <c r="E63" s="35">
        <f>SUM(E62)</f>
        <v>30000</v>
      </c>
      <c r="F63" s="1"/>
      <c r="G63" s="1"/>
    </row>
    <row r="64" spans="1:8" ht="15.75">
      <c r="A64" s="72" t="s">
        <v>10</v>
      </c>
      <c r="B64" s="73"/>
      <c r="C64" s="73"/>
      <c r="D64" s="73"/>
      <c r="E64" s="74"/>
    </row>
    <row r="65" spans="1:5" ht="15">
      <c r="A65" s="17" t="s">
        <v>4</v>
      </c>
      <c r="B65" s="6"/>
      <c r="C65" s="6"/>
      <c r="D65" s="6"/>
      <c r="E65" s="18"/>
    </row>
    <row r="66" spans="1:5" ht="15">
      <c r="A66" s="15" t="s">
        <v>53</v>
      </c>
      <c r="B66" s="6" t="s">
        <v>9</v>
      </c>
      <c r="C66" s="43">
        <v>9</v>
      </c>
      <c r="D66" s="9">
        <v>2500</v>
      </c>
      <c r="E66" s="20">
        <f>C66*D66</f>
        <v>22500</v>
      </c>
    </row>
    <row r="67" spans="1:5" ht="15">
      <c r="A67" s="27" t="s">
        <v>6</v>
      </c>
      <c r="B67" s="37"/>
      <c r="C67" s="38"/>
      <c r="D67" s="39"/>
      <c r="E67" s="35">
        <f>SUM(E66:E66)</f>
        <v>22500</v>
      </c>
    </row>
    <row r="68" spans="1:5" ht="15.75" thickBot="1">
      <c r="A68" s="56" t="s">
        <v>7</v>
      </c>
      <c r="B68" s="57"/>
      <c r="C68" s="58"/>
      <c r="D68" s="59"/>
      <c r="E68" s="60">
        <f>SUM(E22:E25,E29,E33,E37,E41,E45,E49:E50,E54:E58,E62,E66)</f>
        <v>5823685.5499999998</v>
      </c>
    </row>
    <row r="69" spans="1:5" ht="16.5" thickBot="1">
      <c r="A69" s="78" t="s">
        <v>50</v>
      </c>
      <c r="B69" s="79"/>
      <c r="C69" s="79"/>
      <c r="D69" s="79"/>
      <c r="E69" s="80"/>
    </row>
    <row r="70" spans="1:5" ht="15.75">
      <c r="A70" s="21" t="s">
        <v>21</v>
      </c>
      <c r="B70" s="22"/>
      <c r="C70" s="22"/>
      <c r="D70" s="22"/>
      <c r="E70" s="23"/>
    </row>
    <row r="71" spans="1:5">
      <c r="A71" s="14" t="s">
        <v>4</v>
      </c>
      <c r="B71" s="5"/>
      <c r="C71" s="5"/>
      <c r="D71" s="5"/>
      <c r="E71" s="13"/>
    </row>
    <row r="72" spans="1:5" ht="15">
      <c r="A72" s="15" t="s">
        <v>49</v>
      </c>
      <c r="B72" s="7" t="s">
        <v>5</v>
      </c>
      <c r="C72" s="41">
        <v>554</v>
      </c>
      <c r="D72" s="8">
        <f>D22</f>
        <v>50</v>
      </c>
      <c r="E72" s="16">
        <f>C72*D72</f>
        <v>27700</v>
      </c>
    </row>
    <row r="73" spans="1:5" ht="30">
      <c r="A73" s="15" t="s">
        <v>46</v>
      </c>
      <c r="B73" s="7" t="s">
        <v>8</v>
      </c>
      <c r="C73" s="41">
        <v>156.80000000000001</v>
      </c>
      <c r="D73" s="8">
        <f>D23</f>
        <v>252</v>
      </c>
      <c r="E73" s="16">
        <f>C73*D73</f>
        <v>39513.600000000006</v>
      </c>
    </row>
    <row r="74" spans="1:5" ht="30">
      <c r="A74" s="15" t="s">
        <v>47</v>
      </c>
      <c r="B74" s="7" t="s">
        <v>5</v>
      </c>
      <c r="C74" s="41">
        <v>0.72</v>
      </c>
      <c r="D74" s="8">
        <f>D24</f>
        <v>840</v>
      </c>
      <c r="E74" s="16">
        <f>C74*D74</f>
        <v>604.79999999999995</v>
      </c>
    </row>
    <row r="75" spans="1:5" ht="30">
      <c r="A75" s="15" t="s">
        <v>48</v>
      </c>
      <c r="B75" s="7" t="s">
        <v>8</v>
      </c>
      <c r="C75" s="41">
        <f>156.8*5*0.25</f>
        <v>196</v>
      </c>
      <c r="D75" s="8">
        <f>D25</f>
        <v>252</v>
      </c>
      <c r="E75" s="16">
        <f>C75*D75</f>
        <v>49392</v>
      </c>
    </row>
    <row r="76" spans="1:5" ht="15">
      <c r="A76" s="27" t="s">
        <v>6</v>
      </c>
      <c r="B76" s="28"/>
      <c r="C76" s="29"/>
      <c r="D76" s="29"/>
      <c r="E76" s="40">
        <f>SUM(E72:E75)</f>
        <v>117210.40000000001</v>
      </c>
    </row>
    <row r="77" spans="1:5" ht="15.75">
      <c r="A77" s="81" t="s">
        <v>45</v>
      </c>
      <c r="B77" s="82"/>
      <c r="C77" s="82"/>
      <c r="D77" s="82"/>
      <c r="E77" s="83"/>
    </row>
    <row r="78" spans="1:5" ht="15">
      <c r="A78" s="54" t="s">
        <v>4</v>
      </c>
      <c r="B78" s="52"/>
      <c r="C78" s="42"/>
      <c r="D78" s="45"/>
      <c r="E78" s="53"/>
    </row>
    <row r="79" spans="1:5" ht="15">
      <c r="A79" s="55" t="s">
        <v>44</v>
      </c>
      <c r="B79" s="52" t="s">
        <v>5</v>
      </c>
      <c r="C79" s="42">
        <v>46</v>
      </c>
      <c r="D79" s="45">
        <f>D37</f>
        <v>460</v>
      </c>
      <c r="E79" s="53">
        <f>C79*D79</f>
        <v>21160</v>
      </c>
    </row>
    <row r="80" spans="1:5" ht="15">
      <c r="A80" s="27" t="s">
        <v>6</v>
      </c>
      <c r="B80" s="30"/>
      <c r="C80" s="31"/>
      <c r="D80" s="32"/>
      <c r="E80" s="33">
        <f>SUM(E79)</f>
        <v>21160</v>
      </c>
    </row>
    <row r="81" spans="1:5" ht="15.6" customHeight="1">
      <c r="A81" s="72" t="s">
        <v>52</v>
      </c>
      <c r="B81" s="73"/>
      <c r="C81" s="73"/>
      <c r="D81" s="73"/>
      <c r="E81" s="74"/>
    </row>
    <row r="82" spans="1:5" ht="15">
      <c r="A82" s="17" t="s">
        <v>4</v>
      </c>
      <c r="B82" s="6"/>
      <c r="C82" s="12"/>
      <c r="D82" s="9"/>
      <c r="E82" s="20"/>
    </row>
    <row r="83" spans="1:5" ht="15">
      <c r="A83" s="15" t="s">
        <v>51</v>
      </c>
      <c r="B83" s="6" t="s">
        <v>5</v>
      </c>
      <c r="C83" s="43">
        <f>C72</f>
        <v>554</v>
      </c>
      <c r="D83" s="9">
        <f>D41</f>
        <v>525</v>
      </c>
      <c r="E83" s="20">
        <f>C83*D83</f>
        <v>290850</v>
      </c>
    </row>
    <row r="84" spans="1:5" ht="15">
      <c r="A84" s="27" t="s">
        <v>6</v>
      </c>
      <c r="B84" s="30"/>
      <c r="C84" s="34"/>
      <c r="D84" s="32"/>
      <c r="E84" s="35">
        <f>SUM(E83)</f>
        <v>290850</v>
      </c>
    </row>
    <row r="85" spans="1:5" ht="15.75">
      <c r="A85" s="72" t="s">
        <v>35</v>
      </c>
      <c r="B85" s="73"/>
      <c r="C85" s="73"/>
      <c r="D85" s="73"/>
      <c r="E85" s="74"/>
    </row>
    <row r="86" spans="1:5" ht="15">
      <c r="A86" s="17" t="s">
        <v>4</v>
      </c>
      <c r="B86" s="6"/>
      <c r="C86" s="12"/>
      <c r="D86" s="9"/>
      <c r="E86" s="20"/>
    </row>
    <row r="87" spans="1:5" ht="15">
      <c r="A87" s="15" t="s">
        <v>27</v>
      </c>
      <c r="B87" s="6" t="s">
        <v>20</v>
      </c>
      <c r="C87" s="43">
        <v>30</v>
      </c>
      <c r="D87" s="45">
        <f>D45</f>
        <v>250</v>
      </c>
      <c r="E87" s="20">
        <f>C87*D87</f>
        <v>7500</v>
      </c>
    </row>
    <row r="88" spans="1:5" ht="15">
      <c r="A88" s="27" t="s">
        <v>6</v>
      </c>
      <c r="B88" s="30"/>
      <c r="C88" s="34"/>
      <c r="D88" s="32"/>
      <c r="E88" s="35">
        <f>SUM(E87)</f>
        <v>7500</v>
      </c>
    </row>
    <row r="89" spans="1:5" ht="15.6" customHeight="1">
      <c r="A89" s="72" t="s">
        <v>25</v>
      </c>
      <c r="B89" s="73"/>
      <c r="C89" s="73"/>
      <c r="D89" s="73"/>
      <c r="E89" s="74"/>
    </row>
    <row r="90" spans="1:5" ht="15">
      <c r="A90" s="17" t="s">
        <v>4</v>
      </c>
      <c r="B90" s="6"/>
      <c r="C90" s="6"/>
      <c r="D90" s="6"/>
      <c r="E90" s="18"/>
    </row>
    <row r="91" spans="1:5" ht="30">
      <c r="A91" s="15" t="s">
        <v>38</v>
      </c>
      <c r="B91" s="6" t="s">
        <v>5</v>
      </c>
      <c r="C91" s="43">
        <f>C72</f>
        <v>554</v>
      </c>
      <c r="D91" s="45">
        <f>D49</f>
        <v>315</v>
      </c>
      <c r="E91" s="20">
        <f>C91*D91</f>
        <v>174510</v>
      </c>
    </row>
    <row r="92" spans="1:5" ht="30">
      <c r="A92" s="15" t="s">
        <v>37</v>
      </c>
      <c r="B92" s="6" t="s">
        <v>5</v>
      </c>
      <c r="C92" s="43">
        <f>C72</f>
        <v>554</v>
      </c>
      <c r="D92" s="45">
        <f>D50</f>
        <v>50</v>
      </c>
      <c r="E92" s="20">
        <f>C92*D92</f>
        <v>27700</v>
      </c>
    </row>
    <row r="93" spans="1:5" ht="15">
      <c r="A93" s="27" t="s">
        <v>6</v>
      </c>
      <c r="B93" s="30"/>
      <c r="C93" s="34"/>
      <c r="D93" s="32"/>
      <c r="E93" s="35">
        <f>SUM(E91:E92)</f>
        <v>202210</v>
      </c>
    </row>
    <row r="94" spans="1:5" ht="15.6" customHeight="1">
      <c r="A94" s="72" t="s">
        <v>26</v>
      </c>
      <c r="B94" s="73"/>
      <c r="C94" s="73"/>
      <c r="D94" s="73"/>
      <c r="E94" s="74"/>
    </row>
    <row r="95" spans="1:5" ht="15">
      <c r="A95" s="17" t="s">
        <v>4</v>
      </c>
      <c r="B95" s="6"/>
      <c r="C95" s="6"/>
      <c r="D95" s="6"/>
      <c r="E95" s="18"/>
    </row>
    <row r="96" spans="1:5" ht="15">
      <c r="A96" s="15" t="s">
        <v>39</v>
      </c>
      <c r="B96" s="6" t="s">
        <v>8</v>
      </c>
      <c r="C96" s="43">
        <v>30</v>
      </c>
      <c r="D96" s="46">
        <f>D55</f>
        <v>150</v>
      </c>
      <c r="E96" s="20">
        <f>C96*D96</f>
        <v>4500</v>
      </c>
    </row>
    <row r="97" spans="1:5" ht="45">
      <c r="A97" s="15" t="s">
        <v>65</v>
      </c>
      <c r="B97" s="6" t="s">
        <v>8</v>
      </c>
      <c r="C97" s="43">
        <v>96</v>
      </c>
      <c r="D97" s="45">
        <f>D56</f>
        <v>700</v>
      </c>
      <c r="E97" s="20">
        <f>C97*D97</f>
        <v>67200</v>
      </c>
    </row>
    <row r="98" spans="1:5" ht="15">
      <c r="A98" s="15" t="s">
        <v>22</v>
      </c>
      <c r="B98" s="6" t="s">
        <v>8</v>
      </c>
      <c r="C98" s="43">
        <v>30</v>
      </c>
      <c r="D98" s="45">
        <f>D57</f>
        <v>150</v>
      </c>
      <c r="E98" s="20">
        <f>C98*D98</f>
        <v>4500</v>
      </c>
    </row>
    <row r="99" spans="1:5" ht="15">
      <c r="A99" s="27" t="s">
        <v>6</v>
      </c>
      <c r="B99" s="30"/>
      <c r="C99" s="34"/>
      <c r="D99" s="36"/>
      <c r="E99" s="35">
        <f>SUM(E96:E98)</f>
        <v>76200</v>
      </c>
    </row>
    <row r="100" spans="1:5" ht="15.75">
      <c r="A100" s="72" t="s">
        <v>43</v>
      </c>
      <c r="B100" s="73"/>
      <c r="C100" s="73"/>
      <c r="D100" s="73"/>
      <c r="E100" s="74"/>
    </row>
    <row r="101" spans="1:5" ht="15">
      <c r="A101" s="17" t="s">
        <v>4</v>
      </c>
      <c r="B101" s="6"/>
      <c r="C101" s="6"/>
      <c r="D101" s="6"/>
      <c r="E101" s="18"/>
    </row>
    <row r="102" spans="1:5" ht="15">
      <c r="A102" s="15" t="s">
        <v>28</v>
      </c>
      <c r="B102" s="6" t="s">
        <v>9</v>
      </c>
      <c r="C102" s="43">
        <v>3</v>
      </c>
      <c r="D102" s="45">
        <f>D62</f>
        <v>2500</v>
      </c>
      <c r="E102" s="20">
        <f>C102*D102</f>
        <v>7500</v>
      </c>
    </row>
    <row r="103" spans="1:5" ht="15">
      <c r="A103" s="27" t="s">
        <v>6</v>
      </c>
      <c r="B103" s="30"/>
      <c r="C103" s="34"/>
      <c r="D103" s="36"/>
      <c r="E103" s="35">
        <f>SUM(E102)</f>
        <v>7500</v>
      </c>
    </row>
    <row r="104" spans="1:5" ht="15.75">
      <c r="A104" s="72" t="s">
        <v>10</v>
      </c>
      <c r="B104" s="73"/>
      <c r="C104" s="73"/>
      <c r="D104" s="73"/>
      <c r="E104" s="74"/>
    </row>
    <row r="105" spans="1:5" ht="15">
      <c r="A105" s="17" t="s">
        <v>4</v>
      </c>
      <c r="B105" s="6"/>
      <c r="C105" s="6"/>
      <c r="D105" s="6"/>
      <c r="E105" s="18"/>
    </row>
    <row r="106" spans="1:5" ht="15">
      <c r="A106" s="15" t="s">
        <v>54</v>
      </c>
      <c r="B106" s="6" t="s">
        <v>8</v>
      </c>
      <c r="C106" s="44">
        <v>54</v>
      </c>
      <c r="D106" s="9">
        <v>400</v>
      </c>
      <c r="E106" s="20">
        <f>C106*D106</f>
        <v>21600</v>
      </c>
    </row>
    <row r="107" spans="1:5" ht="15">
      <c r="A107" s="15" t="s">
        <v>53</v>
      </c>
      <c r="B107" s="6" t="s">
        <v>9</v>
      </c>
      <c r="C107" s="43">
        <v>2</v>
      </c>
      <c r="D107" s="9">
        <f>D66</f>
        <v>2500</v>
      </c>
      <c r="E107" s="20">
        <f>C107*D107</f>
        <v>5000</v>
      </c>
    </row>
    <row r="108" spans="1:5" ht="15">
      <c r="A108" s="27" t="s">
        <v>6</v>
      </c>
      <c r="B108" s="37"/>
      <c r="C108" s="38"/>
      <c r="D108" s="39"/>
      <c r="E108" s="35">
        <f>SUM(E106:E107)</f>
        <v>26600</v>
      </c>
    </row>
    <row r="109" spans="1:5" ht="15.75" thickBot="1">
      <c r="A109" s="56" t="s">
        <v>7</v>
      </c>
      <c r="B109" s="57"/>
      <c r="C109" s="58"/>
      <c r="D109" s="59"/>
      <c r="E109" s="60">
        <f>SUM(E72:E75,E79,E83,E87,E91:E92,E96:E98,E102,E106:E107)</f>
        <v>749230.4</v>
      </c>
    </row>
    <row r="110" spans="1:5" ht="16.5" thickBot="1">
      <c r="A110" s="78" t="s">
        <v>55</v>
      </c>
      <c r="B110" s="79"/>
      <c r="C110" s="79"/>
      <c r="D110" s="79"/>
      <c r="E110" s="80"/>
    </row>
    <row r="111" spans="1:5" ht="15.75">
      <c r="A111" s="21" t="s">
        <v>21</v>
      </c>
      <c r="B111" s="22"/>
      <c r="C111" s="22"/>
      <c r="D111" s="22"/>
      <c r="E111" s="23"/>
    </row>
    <row r="112" spans="1:5">
      <c r="A112" s="14" t="s">
        <v>4</v>
      </c>
      <c r="B112" s="5"/>
      <c r="C112" s="5"/>
      <c r="D112" s="5"/>
      <c r="E112" s="13"/>
    </row>
    <row r="113" spans="1:5" ht="15">
      <c r="A113" s="15" t="s">
        <v>49</v>
      </c>
      <c r="B113" s="7" t="s">
        <v>5</v>
      </c>
      <c r="C113" s="41">
        <v>1872</v>
      </c>
      <c r="D113" s="8">
        <f>D22</f>
        <v>50</v>
      </c>
      <c r="E113" s="16">
        <f>C113*D113</f>
        <v>93600</v>
      </c>
    </row>
    <row r="114" spans="1:5" ht="30">
      <c r="A114" s="15" t="s">
        <v>46</v>
      </c>
      <c r="B114" s="7" t="s">
        <v>8</v>
      </c>
      <c r="C114" s="41">
        <v>183</v>
      </c>
      <c r="D114" s="8">
        <f>D23</f>
        <v>252</v>
      </c>
      <c r="E114" s="16">
        <f>C114*D114</f>
        <v>46116</v>
      </c>
    </row>
    <row r="115" spans="1:5" ht="30">
      <c r="A115" s="15" t="s">
        <v>48</v>
      </c>
      <c r="B115" s="7" t="s">
        <v>8</v>
      </c>
      <c r="C115" s="41">
        <f>183*5*0.25</f>
        <v>228.75</v>
      </c>
      <c r="D115" s="8">
        <f>D25</f>
        <v>252</v>
      </c>
      <c r="E115" s="16">
        <f>C115*D115</f>
        <v>57645</v>
      </c>
    </row>
    <row r="116" spans="1:5" ht="15">
      <c r="A116" s="27" t="s">
        <v>6</v>
      </c>
      <c r="B116" s="28"/>
      <c r="C116" s="29"/>
      <c r="D116" s="29"/>
      <c r="E116" s="40">
        <f>SUM(E113:E115)</f>
        <v>197361</v>
      </c>
    </row>
    <row r="117" spans="1:5" ht="15.6" customHeight="1">
      <c r="A117" s="72" t="s">
        <v>52</v>
      </c>
      <c r="B117" s="73"/>
      <c r="C117" s="73"/>
      <c r="D117" s="73"/>
      <c r="E117" s="74"/>
    </row>
    <row r="118" spans="1:5" ht="15">
      <c r="A118" s="17" t="s">
        <v>4</v>
      </c>
      <c r="B118" s="6"/>
      <c r="C118" s="12"/>
      <c r="D118" s="9"/>
      <c r="E118" s="20"/>
    </row>
    <row r="119" spans="1:5" ht="15">
      <c r="A119" s="15" t="s">
        <v>51</v>
      </c>
      <c r="B119" s="6" t="s">
        <v>5</v>
      </c>
      <c r="C119" s="43">
        <f>C113</f>
        <v>1872</v>
      </c>
      <c r="D119" s="9">
        <f>D41</f>
        <v>525</v>
      </c>
      <c r="E119" s="20">
        <f>C119*D119</f>
        <v>982800</v>
      </c>
    </row>
    <row r="120" spans="1:5" ht="15">
      <c r="A120" s="27" t="s">
        <v>6</v>
      </c>
      <c r="B120" s="30"/>
      <c r="C120" s="34"/>
      <c r="D120" s="32"/>
      <c r="E120" s="35">
        <f>SUM(E119)</f>
        <v>982800</v>
      </c>
    </row>
    <row r="121" spans="1:5" ht="15.75">
      <c r="A121" s="72" t="s">
        <v>35</v>
      </c>
      <c r="B121" s="73"/>
      <c r="C121" s="73"/>
      <c r="D121" s="73"/>
      <c r="E121" s="74"/>
    </row>
    <row r="122" spans="1:5" ht="15">
      <c r="A122" s="17" t="s">
        <v>4</v>
      </c>
      <c r="B122" s="6"/>
      <c r="C122" s="12"/>
      <c r="D122" s="9"/>
      <c r="E122" s="20"/>
    </row>
    <row r="123" spans="1:5" ht="15">
      <c r="A123" s="15" t="s">
        <v>27</v>
      </c>
      <c r="B123" s="6" t="s">
        <v>20</v>
      </c>
      <c r="C123" s="43">
        <v>60</v>
      </c>
      <c r="D123" s="45">
        <f>D45</f>
        <v>250</v>
      </c>
      <c r="E123" s="20">
        <f>C123*D123</f>
        <v>15000</v>
      </c>
    </row>
    <row r="124" spans="1:5" ht="15">
      <c r="A124" s="27" t="s">
        <v>6</v>
      </c>
      <c r="B124" s="30"/>
      <c r="C124" s="34"/>
      <c r="D124" s="32"/>
      <c r="E124" s="35">
        <f>SUM(E123)</f>
        <v>15000</v>
      </c>
    </row>
    <row r="125" spans="1:5" ht="15.6" customHeight="1">
      <c r="A125" s="72" t="s">
        <v>25</v>
      </c>
      <c r="B125" s="73"/>
      <c r="C125" s="73"/>
      <c r="D125" s="73"/>
      <c r="E125" s="74"/>
    </row>
    <row r="126" spans="1:5" ht="15">
      <c r="A126" s="17" t="s">
        <v>4</v>
      </c>
      <c r="B126" s="6"/>
      <c r="C126" s="6"/>
      <c r="D126" s="6"/>
      <c r="E126" s="18"/>
    </row>
    <row r="127" spans="1:5" ht="30">
      <c r="A127" s="15" t="s">
        <v>38</v>
      </c>
      <c r="B127" s="6" t="s">
        <v>5</v>
      </c>
      <c r="C127" s="43">
        <f>C113</f>
        <v>1872</v>
      </c>
      <c r="D127" s="45">
        <f>D49</f>
        <v>315</v>
      </c>
      <c r="E127" s="20">
        <f>C127*D127</f>
        <v>589680</v>
      </c>
    </row>
    <row r="128" spans="1:5" ht="30">
      <c r="A128" s="15" t="s">
        <v>37</v>
      </c>
      <c r="B128" s="6" t="s">
        <v>5</v>
      </c>
      <c r="C128" s="43">
        <f>C113</f>
        <v>1872</v>
      </c>
      <c r="D128" s="45">
        <f>D50</f>
        <v>50</v>
      </c>
      <c r="E128" s="20">
        <f>C128*D128</f>
        <v>93600</v>
      </c>
    </row>
    <row r="129" spans="1:5" ht="15">
      <c r="A129" s="27" t="s">
        <v>6</v>
      </c>
      <c r="B129" s="30"/>
      <c r="C129" s="34"/>
      <c r="D129" s="32"/>
      <c r="E129" s="35">
        <f>SUM(E127:E128)</f>
        <v>683280</v>
      </c>
    </row>
    <row r="130" spans="1:5" ht="15.6" customHeight="1">
      <c r="A130" s="72" t="s">
        <v>26</v>
      </c>
      <c r="B130" s="73"/>
      <c r="C130" s="73"/>
      <c r="D130" s="73"/>
      <c r="E130" s="74"/>
    </row>
    <row r="131" spans="1:5" ht="15">
      <c r="A131" s="17" t="s">
        <v>4</v>
      </c>
      <c r="B131" s="6"/>
      <c r="C131" s="6"/>
      <c r="D131" s="6"/>
      <c r="E131" s="18"/>
    </row>
    <row r="132" spans="1:5" ht="15">
      <c r="A132" s="15" t="s">
        <v>39</v>
      </c>
      <c r="B132" s="6" t="s">
        <v>8</v>
      </c>
      <c r="C132" s="43">
        <v>60</v>
      </c>
      <c r="D132" s="46">
        <f>D55</f>
        <v>150</v>
      </c>
      <c r="E132" s="20">
        <f>C132*D132</f>
        <v>9000</v>
      </c>
    </row>
    <row r="133" spans="1:5" ht="45">
      <c r="A133" s="15" t="s">
        <v>65</v>
      </c>
      <c r="B133" s="6" t="s">
        <v>8</v>
      </c>
      <c r="C133" s="43">
        <v>183</v>
      </c>
      <c r="D133" s="45">
        <f>D56</f>
        <v>700</v>
      </c>
      <c r="E133" s="20">
        <f>C133*D133</f>
        <v>128100</v>
      </c>
    </row>
    <row r="134" spans="1:5" ht="15">
      <c r="A134" s="15" t="s">
        <v>22</v>
      </c>
      <c r="B134" s="6" t="s">
        <v>8</v>
      </c>
      <c r="C134" s="43">
        <v>60</v>
      </c>
      <c r="D134" s="45">
        <f>D57</f>
        <v>150</v>
      </c>
      <c r="E134" s="20">
        <f>C134*D134</f>
        <v>9000</v>
      </c>
    </row>
    <row r="135" spans="1:5" ht="15">
      <c r="A135" s="27" t="s">
        <v>6</v>
      </c>
      <c r="B135" s="30"/>
      <c r="C135" s="34"/>
      <c r="D135" s="36"/>
      <c r="E135" s="35">
        <f>SUM(E132:E134)</f>
        <v>146100</v>
      </c>
    </row>
    <row r="136" spans="1:5" ht="15.75">
      <c r="A136" s="72" t="s">
        <v>43</v>
      </c>
      <c r="B136" s="73"/>
      <c r="C136" s="73"/>
      <c r="D136" s="73"/>
      <c r="E136" s="74"/>
    </row>
    <row r="137" spans="1:5" ht="15">
      <c r="A137" s="17" t="s">
        <v>4</v>
      </c>
      <c r="B137" s="6"/>
      <c r="C137" s="6"/>
      <c r="D137" s="6"/>
      <c r="E137" s="18"/>
    </row>
    <row r="138" spans="1:5" ht="15">
      <c r="A138" s="15" t="s">
        <v>28</v>
      </c>
      <c r="B138" s="6" t="s">
        <v>9</v>
      </c>
      <c r="C138" s="43">
        <v>6</v>
      </c>
      <c r="D138" s="45">
        <f>D62</f>
        <v>2500</v>
      </c>
      <c r="E138" s="20">
        <f>C138*D138</f>
        <v>15000</v>
      </c>
    </row>
    <row r="139" spans="1:5" ht="15">
      <c r="A139" s="27" t="s">
        <v>6</v>
      </c>
      <c r="B139" s="30"/>
      <c r="C139" s="34"/>
      <c r="D139" s="36"/>
      <c r="E139" s="35">
        <f>SUM(E138)</f>
        <v>15000</v>
      </c>
    </row>
    <row r="140" spans="1:5" ht="15.75">
      <c r="A140" s="72" t="s">
        <v>10</v>
      </c>
      <c r="B140" s="73"/>
      <c r="C140" s="73"/>
      <c r="D140" s="73"/>
      <c r="E140" s="74"/>
    </row>
    <row r="141" spans="1:5" ht="15">
      <c r="A141" s="17" t="s">
        <v>4</v>
      </c>
      <c r="B141" s="6"/>
      <c r="C141" s="6"/>
      <c r="D141" s="6"/>
      <c r="E141" s="18"/>
    </row>
    <row r="142" spans="1:5" ht="15">
      <c r="A142" s="15" t="s">
        <v>54</v>
      </c>
      <c r="B142" s="6" t="s">
        <v>8</v>
      </c>
      <c r="C142" s="44">
        <v>112.25</v>
      </c>
      <c r="D142" s="9">
        <f>D106</f>
        <v>400</v>
      </c>
      <c r="E142" s="20">
        <f>C142*D142</f>
        <v>44900</v>
      </c>
    </row>
    <row r="143" spans="1:5" ht="15">
      <c r="A143" s="27" t="s">
        <v>6</v>
      </c>
      <c r="B143" s="37"/>
      <c r="C143" s="38"/>
      <c r="D143" s="39"/>
      <c r="E143" s="35">
        <f>SUM(E142:E142)</f>
        <v>44900</v>
      </c>
    </row>
    <row r="144" spans="1:5" ht="15.75">
      <c r="A144" s="81" t="s">
        <v>56</v>
      </c>
      <c r="B144" s="82"/>
      <c r="C144" s="82"/>
      <c r="D144" s="82"/>
      <c r="E144" s="83"/>
    </row>
    <row r="145" spans="1:5" ht="15">
      <c r="A145" s="65" t="s">
        <v>4</v>
      </c>
      <c r="B145" s="61"/>
      <c r="C145" s="62"/>
      <c r="D145" s="63"/>
      <c r="E145" s="64"/>
    </row>
    <row r="146" spans="1:5" ht="15">
      <c r="A146" s="15" t="s">
        <v>57</v>
      </c>
      <c r="B146" s="6" t="s">
        <v>8</v>
      </c>
      <c r="C146" s="44">
        <v>60</v>
      </c>
      <c r="D146" s="9">
        <v>600</v>
      </c>
      <c r="E146" s="20">
        <f>C146*D146</f>
        <v>36000</v>
      </c>
    </row>
    <row r="147" spans="1:5" ht="15">
      <c r="A147" s="15" t="s">
        <v>58</v>
      </c>
      <c r="B147" s="6" t="s">
        <v>9</v>
      </c>
      <c r="C147" s="43">
        <v>60</v>
      </c>
      <c r="D147" s="9">
        <v>1200</v>
      </c>
      <c r="E147" s="20">
        <f>C147*D147</f>
        <v>72000</v>
      </c>
    </row>
    <row r="148" spans="1:5" ht="15">
      <c r="A148" s="27" t="s">
        <v>6</v>
      </c>
      <c r="B148" s="37"/>
      <c r="C148" s="38"/>
      <c r="D148" s="39"/>
      <c r="E148" s="35">
        <f>SUM(E146:E147)</f>
        <v>108000</v>
      </c>
    </row>
    <row r="149" spans="1:5" ht="15.75" thickBot="1">
      <c r="A149" s="56" t="s">
        <v>7</v>
      </c>
      <c r="B149" s="57"/>
      <c r="C149" s="58"/>
      <c r="D149" s="59"/>
      <c r="E149" s="60">
        <f>SUM(E113:E115,E119,E123,E127:E128,E132:E134,E138,E142:E142,E146:E147)</f>
        <v>2192441</v>
      </c>
    </row>
    <row r="150" spans="1:5" ht="16.5" thickBot="1">
      <c r="A150" s="78" t="s">
        <v>59</v>
      </c>
      <c r="B150" s="79"/>
      <c r="C150" s="79"/>
      <c r="D150" s="79"/>
      <c r="E150" s="80"/>
    </row>
    <row r="151" spans="1:5" ht="15.75">
      <c r="A151" s="21" t="s">
        <v>21</v>
      </c>
      <c r="B151" s="22"/>
      <c r="C151" s="22"/>
      <c r="D151" s="22"/>
      <c r="E151" s="23"/>
    </row>
    <row r="152" spans="1:5">
      <c r="A152" s="14" t="s">
        <v>4</v>
      </c>
      <c r="B152" s="5"/>
      <c r="C152" s="5"/>
      <c r="D152" s="5"/>
      <c r="E152" s="13"/>
    </row>
    <row r="153" spans="1:5" ht="15">
      <c r="A153" s="15" t="s">
        <v>49</v>
      </c>
      <c r="B153" s="7" t="s">
        <v>5</v>
      </c>
      <c r="C153" s="41">
        <v>153</v>
      </c>
      <c r="D153" s="8">
        <f>D22</f>
        <v>50</v>
      </c>
      <c r="E153" s="16">
        <f>C153*D153</f>
        <v>7650</v>
      </c>
    </row>
    <row r="154" spans="1:5" ht="15">
      <c r="A154" s="27" t="s">
        <v>6</v>
      </c>
      <c r="B154" s="28"/>
      <c r="C154" s="29"/>
      <c r="D154" s="29"/>
      <c r="E154" s="40">
        <f>SUM(E153:E153)</f>
        <v>7650</v>
      </c>
    </row>
    <row r="155" spans="1:5" ht="15.75">
      <c r="A155" s="72" t="s">
        <v>31</v>
      </c>
      <c r="B155" s="73"/>
      <c r="C155" s="73"/>
      <c r="D155" s="73"/>
      <c r="E155" s="74"/>
    </row>
    <row r="156" spans="1:5" ht="15">
      <c r="A156" s="17" t="s">
        <v>4</v>
      </c>
      <c r="B156" s="6"/>
      <c r="C156" s="10"/>
      <c r="D156" s="9"/>
      <c r="E156" s="19"/>
    </row>
    <row r="157" spans="1:5" ht="15">
      <c r="A157" s="15" t="s">
        <v>64</v>
      </c>
      <c r="B157" s="6" t="s">
        <v>5</v>
      </c>
      <c r="C157" s="42">
        <v>161.4</v>
      </c>
      <c r="D157" s="9">
        <f>D29</f>
        <v>231</v>
      </c>
      <c r="E157" s="19">
        <f>C157*D157</f>
        <v>37283.4</v>
      </c>
    </row>
    <row r="158" spans="1:5" ht="15">
      <c r="A158" s="27" t="s">
        <v>6</v>
      </c>
      <c r="B158" s="30"/>
      <c r="C158" s="31"/>
      <c r="D158" s="32"/>
      <c r="E158" s="33">
        <f>SUM(E157:E157)</f>
        <v>37283.4</v>
      </c>
    </row>
    <row r="159" spans="1:5" ht="15.75">
      <c r="A159" s="72" t="s">
        <v>32</v>
      </c>
      <c r="B159" s="73"/>
      <c r="C159" s="73"/>
      <c r="D159" s="73"/>
      <c r="E159" s="74"/>
    </row>
    <row r="160" spans="1:5" ht="15">
      <c r="A160" s="17" t="s">
        <v>4</v>
      </c>
      <c r="B160" s="6"/>
      <c r="C160" s="11"/>
      <c r="D160" s="9"/>
      <c r="E160" s="19"/>
    </row>
    <row r="161" spans="1:5" ht="30">
      <c r="A161" s="15" t="s">
        <v>33</v>
      </c>
      <c r="B161" s="6" t="s">
        <v>5</v>
      </c>
      <c r="C161" s="42">
        <f>C153</f>
        <v>153</v>
      </c>
      <c r="D161" s="9">
        <f>D33</f>
        <v>320</v>
      </c>
      <c r="E161" s="19">
        <f>C161*D161</f>
        <v>48960</v>
      </c>
    </row>
    <row r="162" spans="1:5" ht="15">
      <c r="A162" s="27" t="s">
        <v>6</v>
      </c>
      <c r="B162" s="30"/>
      <c r="C162" s="31"/>
      <c r="D162" s="32"/>
      <c r="E162" s="33">
        <f>SUM(E161)</f>
        <v>48960</v>
      </c>
    </row>
    <row r="163" spans="1:5" ht="15.6" customHeight="1">
      <c r="A163" s="72" t="s">
        <v>36</v>
      </c>
      <c r="B163" s="73"/>
      <c r="C163" s="73"/>
      <c r="D163" s="73"/>
      <c r="E163" s="74"/>
    </row>
    <row r="164" spans="1:5" ht="15">
      <c r="A164" s="17" t="s">
        <v>4</v>
      </c>
      <c r="B164" s="6"/>
      <c r="C164" s="12"/>
      <c r="D164" s="9"/>
      <c r="E164" s="20"/>
    </row>
    <row r="165" spans="1:5" ht="15">
      <c r="A165" s="15" t="s">
        <v>34</v>
      </c>
      <c r="B165" s="6" t="s">
        <v>5</v>
      </c>
      <c r="C165" s="43">
        <f>C153</f>
        <v>153</v>
      </c>
      <c r="D165" s="9">
        <f>D83</f>
        <v>525</v>
      </c>
      <c r="E165" s="20">
        <f>C165*D165</f>
        <v>80325</v>
      </c>
    </row>
    <row r="166" spans="1:5" ht="15">
      <c r="A166" s="27" t="s">
        <v>6</v>
      </c>
      <c r="B166" s="30"/>
      <c r="C166" s="34"/>
      <c r="D166" s="32"/>
      <c r="E166" s="35">
        <f>SUM(E165)</f>
        <v>80325</v>
      </c>
    </row>
    <row r="167" spans="1:5" ht="15.75">
      <c r="A167" s="72" t="s">
        <v>35</v>
      </c>
      <c r="B167" s="73"/>
      <c r="C167" s="73"/>
      <c r="D167" s="73"/>
      <c r="E167" s="74"/>
    </row>
    <row r="168" spans="1:5" ht="15">
      <c r="A168" s="17" t="s">
        <v>4</v>
      </c>
      <c r="B168" s="6"/>
      <c r="C168" s="12"/>
      <c r="D168" s="9"/>
      <c r="E168" s="20"/>
    </row>
    <row r="169" spans="1:5" ht="15">
      <c r="A169" s="15" t="s">
        <v>27</v>
      </c>
      <c r="B169" s="6" t="s">
        <v>20</v>
      </c>
      <c r="C169" s="43">
        <v>18</v>
      </c>
      <c r="D169" s="45">
        <f>D87</f>
        <v>250</v>
      </c>
      <c r="E169" s="20">
        <f>C169*D169</f>
        <v>4500</v>
      </c>
    </row>
    <row r="170" spans="1:5" ht="15">
      <c r="A170" s="27" t="s">
        <v>6</v>
      </c>
      <c r="B170" s="30"/>
      <c r="C170" s="34"/>
      <c r="D170" s="32"/>
      <c r="E170" s="35">
        <f>SUM(E169)</f>
        <v>4500</v>
      </c>
    </row>
    <row r="171" spans="1:5" ht="15.6" customHeight="1">
      <c r="A171" s="72" t="s">
        <v>25</v>
      </c>
      <c r="B171" s="73"/>
      <c r="C171" s="73"/>
      <c r="D171" s="73"/>
      <c r="E171" s="74"/>
    </row>
    <row r="172" spans="1:5" ht="15">
      <c r="A172" s="17" t="s">
        <v>4</v>
      </c>
      <c r="B172" s="6"/>
      <c r="C172" s="6"/>
      <c r="D172" s="6"/>
      <c r="E172" s="18"/>
    </row>
    <row r="173" spans="1:5" ht="15">
      <c r="A173" s="15" t="s">
        <v>60</v>
      </c>
      <c r="B173" s="6" t="s">
        <v>5</v>
      </c>
      <c r="C173" s="44">
        <v>153</v>
      </c>
      <c r="D173" s="9">
        <v>50</v>
      </c>
      <c r="E173" s="20">
        <f>C173*D173</f>
        <v>7650</v>
      </c>
    </row>
    <row r="174" spans="1:5" ht="30">
      <c r="A174" s="15" t="s">
        <v>61</v>
      </c>
      <c r="B174" s="6" t="s">
        <v>5</v>
      </c>
      <c r="C174" s="43">
        <v>153</v>
      </c>
      <c r="D174" s="45">
        <v>280</v>
      </c>
      <c r="E174" s="20">
        <f>C174*D174</f>
        <v>42840</v>
      </c>
    </row>
    <row r="175" spans="1:5" ht="30">
      <c r="A175" s="15" t="s">
        <v>62</v>
      </c>
      <c r="B175" s="6" t="s">
        <v>5</v>
      </c>
      <c r="C175" s="43">
        <v>153</v>
      </c>
      <c r="D175" s="45">
        <v>280</v>
      </c>
      <c r="E175" s="20">
        <f>C175*D175</f>
        <v>42840</v>
      </c>
    </row>
    <row r="176" spans="1:5" ht="15">
      <c r="A176" s="27" t="s">
        <v>6</v>
      </c>
      <c r="B176" s="30"/>
      <c r="C176" s="34"/>
      <c r="D176" s="32"/>
      <c r="E176" s="35">
        <f>SUM(E173:E175)</f>
        <v>93330</v>
      </c>
    </row>
    <row r="177" spans="1:5" ht="15.6" customHeight="1">
      <c r="A177" s="72" t="s">
        <v>26</v>
      </c>
      <c r="B177" s="73"/>
      <c r="C177" s="73"/>
      <c r="D177" s="73"/>
      <c r="E177" s="74"/>
    </row>
    <row r="178" spans="1:5" ht="15">
      <c r="A178" s="17" t="s">
        <v>4</v>
      </c>
      <c r="B178" s="6"/>
      <c r="C178" s="6"/>
      <c r="D178" s="6"/>
      <c r="E178" s="18"/>
    </row>
    <row r="179" spans="1:5" ht="15">
      <c r="A179" s="15" t="s">
        <v>39</v>
      </c>
      <c r="B179" s="6" t="s">
        <v>8</v>
      </c>
      <c r="C179" s="43">
        <v>18</v>
      </c>
      <c r="D179" s="46">
        <f>D55</f>
        <v>150</v>
      </c>
      <c r="E179" s="20">
        <f>C179*D179</f>
        <v>2700</v>
      </c>
    </row>
    <row r="180" spans="1:5" ht="45">
      <c r="A180" s="15" t="s">
        <v>65</v>
      </c>
      <c r="B180" s="6" t="s">
        <v>8</v>
      </c>
      <c r="C180" s="43">
        <v>56</v>
      </c>
      <c r="D180" s="45">
        <f>D97</f>
        <v>700</v>
      </c>
      <c r="E180" s="20">
        <f>C180*D180</f>
        <v>39200</v>
      </c>
    </row>
    <row r="181" spans="1:5" ht="15">
      <c r="A181" s="15" t="s">
        <v>22</v>
      </c>
      <c r="B181" s="6" t="s">
        <v>8</v>
      </c>
      <c r="C181" s="43">
        <v>18</v>
      </c>
      <c r="D181" s="45">
        <f>D98</f>
        <v>150</v>
      </c>
      <c r="E181" s="20">
        <f>C181*D181</f>
        <v>2700</v>
      </c>
    </row>
    <row r="182" spans="1:5" ht="15">
      <c r="A182" s="27" t="s">
        <v>6</v>
      </c>
      <c r="B182" s="30"/>
      <c r="C182" s="34"/>
      <c r="D182" s="36"/>
      <c r="E182" s="35">
        <f>SUM(E179:E181)</f>
        <v>44600</v>
      </c>
    </row>
    <row r="183" spans="1:5" ht="15.75">
      <c r="A183" s="72" t="s">
        <v>43</v>
      </c>
      <c r="B183" s="73"/>
      <c r="C183" s="73"/>
      <c r="D183" s="73"/>
      <c r="E183" s="74"/>
    </row>
    <row r="184" spans="1:5" ht="15">
      <c r="A184" s="17" t="s">
        <v>4</v>
      </c>
      <c r="B184" s="6"/>
      <c r="C184" s="6"/>
      <c r="D184" s="6"/>
      <c r="E184" s="18"/>
    </row>
    <row r="185" spans="1:5" ht="15">
      <c r="A185" s="15" t="s">
        <v>28</v>
      </c>
      <c r="B185" s="6" t="s">
        <v>9</v>
      </c>
      <c r="C185" s="43">
        <v>2</v>
      </c>
      <c r="D185" s="45">
        <f>D62</f>
        <v>2500</v>
      </c>
      <c r="E185" s="20">
        <f>C185*D185</f>
        <v>5000</v>
      </c>
    </row>
    <row r="186" spans="1:5" ht="15">
      <c r="A186" s="27" t="s">
        <v>6</v>
      </c>
      <c r="B186" s="30"/>
      <c r="C186" s="34"/>
      <c r="D186" s="36"/>
      <c r="E186" s="35">
        <f>SUM(E185)</f>
        <v>5000</v>
      </c>
    </row>
    <row r="187" spans="1:5" ht="15.75">
      <c r="A187" s="72" t="s">
        <v>10</v>
      </c>
      <c r="B187" s="73"/>
      <c r="C187" s="73"/>
      <c r="D187" s="73"/>
      <c r="E187" s="74"/>
    </row>
    <row r="188" spans="1:5" ht="15">
      <c r="A188" s="17" t="s">
        <v>4</v>
      </c>
      <c r="B188" s="6"/>
      <c r="C188" s="6"/>
      <c r="D188" s="6"/>
      <c r="E188" s="18"/>
    </row>
    <row r="189" spans="1:5" ht="15">
      <c r="A189" s="15" t="s">
        <v>54</v>
      </c>
      <c r="B189" s="6" t="s">
        <v>8</v>
      </c>
      <c r="C189" s="43">
        <v>28</v>
      </c>
      <c r="D189" s="9">
        <f>D142</f>
        <v>400</v>
      </c>
      <c r="E189" s="20">
        <f>C189*D189</f>
        <v>11200</v>
      </c>
    </row>
    <row r="190" spans="1:5" ht="15">
      <c r="A190" s="27" t="s">
        <v>6</v>
      </c>
      <c r="B190" s="37"/>
      <c r="C190" s="38"/>
      <c r="D190" s="39"/>
      <c r="E190" s="35">
        <f>SUM(E189:E189)</f>
        <v>11200</v>
      </c>
    </row>
    <row r="191" spans="1:5" ht="15">
      <c r="A191" s="56" t="s">
        <v>7</v>
      </c>
      <c r="B191" s="57"/>
      <c r="C191" s="58"/>
      <c r="D191" s="59"/>
      <c r="E191" s="60">
        <f>SUM(E153,E157,E161,E165,E169,E173:E175,E179:E181,E185,E189)</f>
        <v>332848.40000000002</v>
      </c>
    </row>
    <row r="192" spans="1:5" ht="15">
      <c r="A192" s="75" t="s">
        <v>23</v>
      </c>
      <c r="B192" s="76"/>
      <c r="C192" s="76"/>
      <c r="D192" s="77"/>
      <c r="E192" s="35">
        <f>SUM(E68,E109,E149,E191)</f>
        <v>9098205.3499999996</v>
      </c>
    </row>
    <row r="193" spans="1:5" ht="30">
      <c r="A193" s="47" t="s">
        <v>19</v>
      </c>
      <c r="B193" s="48"/>
      <c r="C193" s="48"/>
      <c r="D193" s="48"/>
      <c r="E193" s="67">
        <v>900000</v>
      </c>
    </row>
    <row r="194" spans="1:5" ht="15.75" thickBot="1">
      <c r="A194" s="49" t="s">
        <v>66</v>
      </c>
      <c r="B194" s="50"/>
      <c r="C194" s="50"/>
      <c r="D194" s="50"/>
      <c r="E194" s="68">
        <v>200000</v>
      </c>
    </row>
    <row r="195" spans="1:5" ht="36.6" customHeight="1" thickBot="1">
      <c r="A195" s="69" t="s">
        <v>29</v>
      </c>
      <c r="B195" s="70"/>
      <c r="C195" s="70"/>
      <c r="D195" s="71"/>
      <c r="E195" s="51">
        <f>SUM(E192:E194)</f>
        <v>10198205.35</v>
      </c>
    </row>
  </sheetData>
  <mergeCells count="52">
    <mergeCell ref="A187:E187"/>
    <mergeCell ref="A155:E155"/>
    <mergeCell ref="A159:E159"/>
    <mergeCell ref="A163:E163"/>
    <mergeCell ref="A167:E167"/>
    <mergeCell ref="A136:E136"/>
    <mergeCell ref="A140:E140"/>
    <mergeCell ref="A171:E171"/>
    <mergeCell ref="A177:E177"/>
    <mergeCell ref="A183:E183"/>
    <mergeCell ref="A100:E100"/>
    <mergeCell ref="A104:E104"/>
    <mergeCell ref="A110:E110"/>
    <mergeCell ref="A117:E117"/>
    <mergeCell ref="A130:E130"/>
    <mergeCell ref="A1:E1"/>
    <mergeCell ref="D3:E3"/>
    <mergeCell ref="D4:E4"/>
    <mergeCell ref="A27:E27"/>
    <mergeCell ref="A16:E17"/>
    <mergeCell ref="A15:E15"/>
    <mergeCell ref="A14:E14"/>
    <mergeCell ref="D5:E5"/>
    <mergeCell ref="D6:E6"/>
    <mergeCell ref="D7:E7"/>
    <mergeCell ref="A10:E10"/>
    <mergeCell ref="A19:E19"/>
    <mergeCell ref="A4:B4"/>
    <mergeCell ref="A5:B5"/>
    <mergeCell ref="A6:B6"/>
    <mergeCell ref="A7:B7"/>
    <mergeCell ref="A39:E39"/>
    <mergeCell ref="A31:E31"/>
    <mergeCell ref="A43:E43"/>
    <mergeCell ref="A11:E11"/>
    <mergeCell ref="A35:E35"/>
    <mergeCell ref="A195:D195"/>
    <mergeCell ref="A64:E64"/>
    <mergeCell ref="A192:D192"/>
    <mergeCell ref="A47:E47"/>
    <mergeCell ref="A52:E52"/>
    <mergeCell ref="A60:E60"/>
    <mergeCell ref="A69:E69"/>
    <mergeCell ref="A77:E77"/>
    <mergeCell ref="A81:E81"/>
    <mergeCell ref="A85:E85"/>
    <mergeCell ref="A89:E89"/>
    <mergeCell ref="A144:E144"/>
    <mergeCell ref="A150:E150"/>
    <mergeCell ref="A121:E121"/>
    <mergeCell ref="A125:E125"/>
    <mergeCell ref="A94:E94"/>
  </mergeCells>
  <pageMargins left="0.7" right="0.7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 KRD</dc:creator>
  <cp:lastModifiedBy>Пользователь</cp:lastModifiedBy>
  <cp:revision/>
  <cp:lastPrinted>2024-03-17T16:51:39Z</cp:lastPrinted>
  <dcterms:created xsi:type="dcterms:W3CDTF">2024-03-16T18:53:19Z</dcterms:created>
  <dcterms:modified xsi:type="dcterms:W3CDTF">2026-03-06T14:52:05Z</dcterms:modified>
</cp:coreProperties>
</file>