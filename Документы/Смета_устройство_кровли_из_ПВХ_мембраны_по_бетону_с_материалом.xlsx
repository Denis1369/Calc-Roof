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Моя папка\Личка1\Расчеты_\Для калькулятора\"/>
    </mc:Choice>
  </mc:AlternateContent>
  <xr:revisionPtr revIDLastSave="0" documentId="13_ncr:1_{3E952C4B-4E6D-465D-96CE-C1745DC79F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1" i="1" l="1"/>
  <c r="D142" i="1"/>
  <c r="E143" i="1"/>
  <c r="D121" i="1"/>
  <c r="D135" i="1" s="1"/>
  <c r="D111" i="1"/>
  <c r="E111" i="1" s="1"/>
  <c r="D100" i="1"/>
  <c r="E100" i="1" s="1"/>
  <c r="D110" i="1"/>
  <c r="D108" i="1"/>
  <c r="D88" i="1"/>
  <c r="D79" i="1"/>
  <c r="E51" i="1"/>
  <c r="E52" i="1"/>
  <c r="E53" i="1"/>
  <c r="E54" i="1"/>
  <c r="E55" i="1"/>
  <c r="E56" i="1"/>
  <c r="E57" i="1"/>
  <c r="E58" i="1"/>
  <c r="E134" i="1"/>
  <c r="E127" i="1"/>
  <c r="E128" i="1"/>
  <c r="E129" i="1"/>
  <c r="C110" i="1"/>
  <c r="C108" i="1"/>
  <c r="C88" i="1"/>
  <c r="C85" i="1"/>
  <c r="C98" i="1"/>
  <c r="C97" i="1"/>
  <c r="C94" i="1"/>
  <c r="C79" i="1"/>
  <c r="C74" i="1"/>
  <c r="E74" i="1" s="1"/>
  <c r="C63" i="1"/>
  <c r="C73" i="1" s="1"/>
  <c r="C78" i="1" s="1"/>
  <c r="C38" i="1"/>
  <c r="C41" i="1" s="1"/>
  <c r="C33" i="1"/>
  <c r="C32" i="1"/>
  <c r="E23" i="1"/>
  <c r="E24" i="1"/>
  <c r="C22" i="1"/>
  <c r="E22" i="1" s="1"/>
  <c r="C21" i="1"/>
  <c r="C67" i="1" l="1"/>
  <c r="E50" i="1"/>
  <c r="E135" i="1"/>
  <c r="E133" i="1"/>
  <c r="E132" i="1"/>
  <c r="E136" i="1" s="1"/>
  <c r="E121" i="1"/>
  <c r="E120" i="1"/>
  <c r="E119" i="1"/>
  <c r="E110" i="1"/>
  <c r="E109" i="1"/>
  <c r="E108" i="1"/>
  <c r="E99" i="1"/>
  <c r="E98" i="1"/>
  <c r="E97" i="1"/>
  <c r="E89" i="1"/>
  <c r="E88" i="1"/>
  <c r="E80" i="1"/>
  <c r="E79" i="1"/>
  <c r="E78" i="1"/>
  <c r="E68" i="1"/>
  <c r="E67" i="1"/>
  <c r="E69" i="1" s="1"/>
  <c r="E42" i="1"/>
  <c r="E33" i="1"/>
  <c r="E32" i="1"/>
  <c r="E29" i="1"/>
  <c r="E30" i="1" s="1"/>
  <c r="E81" i="1" l="1"/>
  <c r="E34" i="1"/>
  <c r="E35" i="1" s="1"/>
  <c r="E59" i="1"/>
  <c r="E90" i="1"/>
  <c r="E122" i="1"/>
  <c r="E101" i="1"/>
  <c r="E112" i="1"/>
  <c r="E116" i="1"/>
  <c r="E117" i="1" l="1"/>
  <c r="E123" i="1" s="1"/>
  <c r="E141" i="1" l="1"/>
  <c r="E126" i="1"/>
  <c r="E130" i="1" s="1"/>
  <c r="E105" i="1"/>
  <c r="E106" i="1" s="1"/>
  <c r="E113" i="1" s="1"/>
  <c r="E94" i="1"/>
  <c r="E95" i="1" s="1"/>
  <c r="E102" i="1" s="1"/>
  <c r="E73" i="1"/>
  <c r="E47" i="1"/>
  <c r="E48" i="1" s="1"/>
  <c r="E60" i="1" s="1"/>
  <c r="E64" i="1"/>
  <c r="E75" i="1" l="1"/>
  <c r="E82" i="1" s="1"/>
  <c r="E142" i="1"/>
  <c r="E144" i="1" s="1"/>
  <c r="E21" i="1"/>
  <c r="E25" i="1" l="1"/>
  <c r="E26" i="1" s="1"/>
  <c r="E137" i="1"/>
  <c r="E85" i="1"/>
  <c r="E63" i="1"/>
  <c r="E65" i="1" s="1"/>
  <c r="E70" i="1" s="1"/>
  <c r="E41" i="1"/>
  <c r="E38" i="1"/>
  <c r="E139" i="1" s="1"/>
  <c r="E43" i="1" l="1"/>
  <c r="E138" i="1"/>
  <c r="E86" i="1"/>
  <c r="E91" i="1" s="1"/>
  <c r="E39" i="1"/>
  <c r="E44" i="1" s="1"/>
  <c r="E145" i="1" l="1"/>
</calcChain>
</file>

<file path=xl/sharedStrings.xml><?xml version="1.0" encoding="utf-8"?>
<sst xmlns="http://schemas.openxmlformats.org/spreadsheetml/2006/main" count="204" uniqueCount="91">
  <si>
    <t>Ед.изм.</t>
  </si>
  <si>
    <t>Кол-во</t>
  </si>
  <si>
    <t>Цена за ед</t>
  </si>
  <si>
    <t>Сумма</t>
  </si>
  <si>
    <t>Работы:</t>
  </si>
  <si>
    <t>м2</t>
  </si>
  <si>
    <t>Итого за работы:</t>
  </si>
  <si>
    <t>ИТОГО по Разделу:</t>
  </si>
  <si>
    <t>м/п</t>
  </si>
  <si>
    <t>Материалы:</t>
  </si>
  <si>
    <t>Итого за материалы:</t>
  </si>
  <si>
    <t>шт</t>
  </si>
  <si>
    <t>Итого общая сумма по всем разделам:</t>
  </si>
  <si>
    <t>Согласовано</t>
  </si>
  <si>
    <t>Утверждаю</t>
  </si>
  <si>
    <t>СМЕТА №1</t>
  </si>
  <si>
    <t>«Подрядчик»</t>
  </si>
  <si>
    <t>«Заказчик»</t>
  </si>
  <si>
    <t>Монтаж прижимной и краевой кровельной планки</t>
  </si>
  <si>
    <t>ед</t>
  </si>
  <si>
    <t>Устройство контруклона из теплоизоляционных плит XPS Carbon Slope 4,2%</t>
  </si>
  <si>
    <t>Механическое крепление теплоизоляционного слоя</t>
  </si>
  <si>
    <t>Устройство водоприемных воронок</t>
  </si>
  <si>
    <t>Подъемы и механизмы:</t>
  </si>
  <si>
    <t>ИТОГО по Разделам монтажные работы кровля из ПВХ-мембраны:</t>
  </si>
  <si>
    <t>ООО «»</t>
  </si>
  <si>
    <t xml:space="preserve">ИНН / КПП </t>
  </si>
  <si>
    <t>Ген. Директор________________  ()</t>
  </si>
  <si>
    <t>Наименование работ</t>
  </si>
  <si>
    <t>Устройство L-образного профиля и профилей усиления</t>
  </si>
  <si>
    <t xml:space="preserve">Устройство L-образного профиля в местах парапета и профилей усиления в ендове и на коньках </t>
  </si>
  <si>
    <t>Устройство пароизоляции</t>
  </si>
  <si>
    <t>Устройство гидроизоляции стоек фахверка</t>
  </si>
  <si>
    <t>Устройство примыкания к проходкам</t>
  </si>
  <si>
    <t>Изделие (L-образный профиль, коньковый усилитель) из оц. стали толщиной 0,5 мм</t>
  </si>
  <si>
    <t>Устройство пароизоляции из пленки</t>
  </si>
  <si>
    <t>Пленка пароизоляционная ТехноНИКОЛЬ</t>
  </si>
  <si>
    <t>Скотч двусторонний, 25м</t>
  </si>
  <si>
    <t>Устройство утеплителя из ПИР в один слой, толщиной 80 мм</t>
  </si>
  <si>
    <t>Устройство утеплителя в 1 слой с перехлестом швов, толщиной 80 мм</t>
  </si>
  <si>
    <t>Теплоизоляционный материал ТехноНИКОЛЬ LOGICPIR Ф/Ф 80 мм</t>
  </si>
  <si>
    <t xml:space="preserve">Очиститель для ПВХ-мембран </t>
  </si>
  <si>
    <t>Устройство гидроизоляционного покрытия из ПВХ-мембраны по плоскости</t>
  </si>
  <si>
    <t>Неармированная ПВХ-мембрана ТехноНИКОЛЬ LOGICROOF V-SR 1,5 мм</t>
  </si>
  <si>
    <t>Рейка прижимная ТехноНИКОЛЬ</t>
  </si>
  <si>
    <t>Рейка краевая ТехноНИКОЛЬ</t>
  </si>
  <si>
    <t>Герметик полиуретановый ТехноНИКОЛЬ, 600мм</t>
  </si>
  <si>
    <t>Хомут</t>
  </si>
  <si>
    <t>Монтаж элементов усиления из оц. стали толщиной 0,5 мм</t>
  </si>
  <si>
    <t>Монтаж воронок внутреннего водоотведения</t>
  </si>
  <si>
    <t>Изделие из оц. стали 600*600 мм, толщиной 0,5 мм</t>
  </si>
  <si>
    <t>Воронка водосточная ТехноНИКОЛЬ 110*720 с обогревом</t>
  </si>
  <si>
    <t>ИТОГО по Разделам материалы для устройства кровли из ПВХ-мембраны:</t>
  </si>
  <si>
    <t>Накладные, транспортные, организационные и утилизационные расходы:</t>
  </si>
  <si>
    <t>Организационные и транспортные расходы:</t>
  </si>
  <si>
    <t>ИТОГО по Разделам накладные, транспортные, организационные и утилизационные расходы:</t>
  </si>
  <si>
    <t xml:space="preserve">Клиновидный утеплитель ТехноНИКОЛЬ XPS Carbon PROF SLOPE 4,2 % (Элемент J) </t>
  </si>
  <si>
    <t xml:space="preserve">Клиновидный утеплитель ТехноНИКОЛЬ XPS Carbon PROF SLOPE 4,2 % (Элемент K) </t>
  </si>
  <si>
    <t xml:space="preserve">Клиновидный утеплитель ТехноНИКОЛЬ XPS Carbon PROF SLOPE 4,2 % (Доборная плита) </t>
  </si>
  <si>
    <t>м3</t>
  </si>
  <si>
    <t xml:space="preserve">Крепеж кровельный телескопический 100 мм </t>
  </si>
  <si>
    <t>Устройство прижимной и краевой алюминиевой планки</t>
  </si>
  <si>
    <t>Демонтажные и подготовительные работы</t>
  </si>
  <si>
    <t>Наименование объекта: Административно-бытовое здание</t>
  </si>
  <si>
    <t>Демонтаж теплоизоляционного слоя (минераловатный утеплитель + уклонобразующий слой)</t>
  </si>
  <si>
    <t>Демонтаж ПВХ-мембраны (рядовая кровля + примыкания)</t>
  </si>
  <si>
    <t>Демонтаж воронок водоотведения</t>
  </si>
  <si>
    <t>Демонтаж парапетных крышек</t>
  </si>
  <si>
    <t>Дюбель-гвоздь 6*40 мм</t>
  </si>
  <si>
    <t>Монтаж гидроизоляционного покрытия из ПВХ мембраны шириной 1 м, с продольным нахлестом не менее 120мм и поперечным 200мм (с механическим креплением)</t>
  </si>
  <si>
    <t>Монтаж гидроизоляционного покрытия из ПВХ мембраны шириной 0.5 м, с продольным нахлестом не менее 120мм и поперечным 200мм (с механическим креплением)</t>
  </si>
  <si>
    <t>Монтаж гидроизоляционного покрытия на парапеты (и вертикальные стены) из ПВХ-мембраны с окончанием под рейку (с промежуточным креплением)</t>
  </si>
  <si>
    <t>Устройство гидроизоляции примыканий к парапету, вертикальным стенам и тумбам из ПВХ-мембраны</t>
  </si>
  <si>
    <t>Алмазное бурение</t>
  </si>
  <si>
    <t>Монтаж парапетных воронок</t>
  </si>
  <si>
    <t>Парапетная воронка 100*100 мм с листоуловителем</t>
  </si>
  <si>
    <t xml:space="preserve">Крепеж кровельный телескопический 80 мм </t>
  </si>
  <si>
    <t xml:space="preserve">Крепеж кровельный телескопический 60 мм </t>
  </si>
  <si>
    <t>Кровельный саморез остроконечный 120 мм</t>
  </si>
  <si>
    <t>Анкерный элемент 8*45 мм</t>
  </si>
  <si>
    <t>Кровельный саморез остроконечный 160 мм</t>
  </si>
  <si>
    <t>Крепеж кровельный телескопический 60 мм + саморез остроконечный 100 мм + анкер 8*45 мм</t>
  </si>
  <si>
    <t>ПВХ-мембрана ТехноНИКОЛЬ LogicROOF V-RP 1,5 мм</t>
  </si>
  <si>
    <t>Вывоз мусора</t>
  </si>
  <si>
    <t>ООО «СК-ЮГ»</t>
  </si>
  <si>
    <t>ИНН / КПП: 2312330110/ 231201001</t>
  </si>
  <si>
    <t>Ген. Директор________________  (Панюков А.А.)</t>
  </si>
  <si>
    <t>по Договору подряда №_____ от ..2025 г.</t>
  </si>
  <si>
    <t>Приложение №1 к Договору подряда №_____ от ..2025 г.</t>
  </si>
  <si>
    <t xml:space="preserve">Адрес объекта: </t>
  </si>
  <si>
    <r>
      <t>Данные крыши: Суммарная площадь кровель = 1 555 м2 (42.15</t>
    </r>
    <r>
      <rPr>
        <b/>
        <sz val="16"/>
        <color theme="1"/>
        <rFont val="Calibri"/>
        <family val="2"/>
        <charset val="204"/>
      </rPr>
      <t>×</t>
    </r>
    <r>
      <rPr>
        <b/>
        <sz val="16"/>
        <color theme="1"/>
        <rFont val="Arial"/>
        <family val="2"/>
        <charset val="204"/>
      </rPr>
      <t>36.9 м),
Примыкания к парапету = 158.1 пог.м.,
Примыкания к тумбам = 17 шт. (размеры 1.1×1.1×0.6 м),
Примыкание к фахверковым стойкам = 26 шт. (6 шт. - 1.3×0.8 м; 20 шт. - 0.6×0.8 м). Водоотведение: внутреннее = 9 шт., парапетное = 4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</si>
</sst>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b/>
      <sz val="16"/>
      <color theme="1"/>
      <name val="Arial"/>
      <family val="2"/>
      <charset val="204"/>
    </font>
    <font>
      <b/>
      <sz val="16"/>
      <color theme="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/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0" borderId="13" xfId="0" applyFont="1" applyBorder="1"/>
    <xf numFmtId="4" fontId="4" fillId="0" borderId="13" xfId="0" applyNumberFormat="1" applyFont="1" applyBorder="1" applyAlignment="1">
      <alignment horizontal="right"/>
    </xf>
    <xf numFmtId="164" fontId="4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wrapText="1"/>
    </xf>
    <xf numFmtId="0" fontId="3" fillId="4" borderId="13" xfId="0" applyFont="1" applyFill="1" applyBorder="1"/>
    <xf numFmtId="0" fontId="3" fillId="4" borderId="13" xfId="0" applyFont="1" applyFill="1" applyBorder="1" applyAlignment="1">
      <alignment horizontal="center"/>
    </xf>
    <xf numFmtId="164" fontId="4" fillId="0" borderId="13" xfId="0" applyNumberFormat="1" applyFont="1" applyBorder="1" applyAlignment="1">
      <alignment horizontal="center" wrapText="1"/>
    </xf>
    <xf numFmtId="0" fontId="4" fillId="4" borderId="13" xfId="0" applyFont="1" applyFill="1" applyBorder="1" applyAlignment="1">
      <alignment wrapText="1"/>
    </xf>
    <xf numFmtId="2" fontId="4" fillId="4" borderId="13" xfId="0" applyNumberFormat="1" applyFont="1" applyFill="1" applyBorder="1" applyAlignment="1">
      <alignment horizontal="right" wrapText="1"/>
    </xf>
    <xf numFmtId="164" fontId="4" fillId="4" borderId="13" xfId="0" applyNumberFormat="1" applyFont="1" applyFill="1" applyBorder="1" applyAlignment="1">
      <alignment horizontal="center" wrapText="1"/>
    </xf>
    <xf numFmtId="2" fontId="4" fillId="0" borderId="13" xfId="0" applyNumberFormat="1" applyFont="1" applyBorder="1" applyAlignment="1">
      <alignment horizontal="right" wrapText="1"/>
    </xf>
    <xf numFmtId="0" fontId="4" fillId="5" borderId="13" xfId="0" applyFont="1" applyFill="1" applyBorder="1" applyAlignment="1">
      <alignment wrapText="1"/>
    </xf>
    <xf numFmtId="2" fontId="4" fillId="5" borderId="13" xfId="0" applyNumberFormat="1" applyFont="1" applyFill="1" applyBorder="1" applyAlignment="1">
      <alignment horizontal="center" wrapText="1"/>
    </xf>
    <xf numFmtId="164" fontId="4" fillId="5" borderId="13" xfId="0" applyNumberFormat="1" applyFont="1" applyFill="1" applyBorder="1" applyAlignment="1">
      <alignment horizontal="center" wrapText="1"/>
    </xf>
    <xf numFmtId="0" fontId="4" fillId="6" borderId="13" xfId="0" applyFont="1" applyFill="1" applyBorder="1" applyAlignment="1">
      <alignment wrapText="1"/>
    </xf>
    <xf numFmtId="164" fontId="4" fillId="6" borderId="13" xfId="0" applyNumberFormat="1" applyFont="1" applyFill="1" applyBorder="1" applyAlignment="1">
      <alignment horizontal="center" wrapText="1"/>
    </xf>
    <xf numFmtId="2" fontId="4" fillId="4" borderId="13" xfId="0" applyNumberFormat="1" applyFont="1" applyFill="1" applyBorder="1" applyAlignment="1">
      <alignment horizontal="center" wrapText="1"/>
    </xf>
    <xf numFmtId="164" fontId="4" fillId="0" borderId="13" xfId="0" applyNumberFormat="1" applyFont="1" applyBorder="1" applyAlignment="1">
      <alignment wrapText="1"/>
    </xf>
    <xf numFmtId="2" fontId="4" fillId="4" borderId="13" xfId="0" applyNumberFormat="1" applyFont="1" applyFill="1" applyBorder="1" applyAlignment="1">
      <alignment wrapText="1"/>
    </xf>
    <xf numFmtId="164" fontId="7" fillId="4" borderId="13" xfId="0" applyNumberFormat="1" applyFont="1" applyFill="1" applyBorder="1" applyAlignment="1">
      <alignment wrapText="1"/>
    </xf>
    <xf numFmtId="164" fontId="4" fillId="4" borderId="13" xfId="0" applyNumberFormat="1" applyFont="1" applyFill="1" applyBorder="1" applyAlignment="1">
      <alignment wrapText="1"/>
    </xf>
    <xf numFmtId="164" fontId="4" fillId="6" borderId="13" xfId="0" applyNumberFormat="1" applyFont="1" applyFill="1" applyBorder="1" applyAlignment="1">
      <alignment wrapText="1"/>
    </xf>
    <xf numFmtId="0" fontId="7" fillId="4" borderId="13" xfId="0" applyFont="1" applyFill="1" applyBorder="1" applyAlignment="1">
      <alignment wrapText="1"/>
    </xf>
    <xf numFmtId="2" fontId="7" fillId="4" borderId="13" xfId="0" applyNumberFormat="1" applyFont="1" applyFill="1" applyBorder="1" applyAlignment="1">
      <alignment wrapText="1"/>
    </xf>
    <xf numFmtId="4" fontId="4" fillId="0" borderId="13" xfId="0" applyNumberFormat="1" applyFont="1" applyBorder="1" applyAlignment="1">
      <alignment wrapText="1"/>
    </xf>
    <xf numFmtId="0" fontId="4" fillId="0" borderId="15" xfId="0" applyFont="1" applyBorder="1" applyAlignment="1">
      <alignment horizontal="left" vertical="center" wrapText="1"/>
    </xf>
    <xf numFmtId="164" fontId="4" fillId="0" borderId="16" xfId="0" applyNumberFormat="1" applyFont="1" applyBorder="1" applyAlignment="1">
      <alignment horizontal="right"/>
    </xf>
    <xf numFmtId="0" fontId="4" fillId="0" borderId="15" xfId="0" applyFont="1" applyBorder="1" applyAlignment="1">
      <alignment wrapText="1"/>
    </xf>
    <xf numFmtId="0" fontId="7" fillId="4" borderId="15" xfId="0" applyFont="1" applyFill="1" applyBorder="1" applyAlignment="1">
      <alignment horizontal="right" wrapText="1"/>
    </xf>
    <xf numFmtId="164" fontId="7" fillId="4" borderId="16" xfId="0" applyNumberFormat="1" applyFont="1" applyFill="1" applyBorder="1" applyAlignment="1">
      <alignment horizontal="right"/>
    </xf>
    <xf numFmtId="0" fontId="6" fillId="0" borderId="15" xfId="0" applyFont="1" applyBorder="1" applyAlignment="1">
      <alignment horizontal="center" wrapText="1"/>
    </xf>
    <xf numFmtId="164" fontId="4" fillId="0" borderId="16" xfId="0" applyNumberFormat="1" applyFont="1" applyBorder="1" applyAlignment="1">
      <alignment horizontal="right" wrapText="1"/>
    </xf>
    <xf numFmtId="164" fontId="7" fillId="4" borderId="16" xfId="0" applyNumberFormat="1" applyFont="1" applyFill="1" applyBorder="1" applyAlignment="1">
      <alignment horizontal="right" wrapText="1"/>
    </xf>
    <xf numFmtId="0" fontId="7" fillId="5" borderId="15" xfId="0" applyFont="1" applyFill="1" applyBorder="1" applyAlignment="1">
      <alignment horizontal="right" wrapText="1"/>
    </xf>
    <xf numFmtId="164" fontId="7" fillId="5" borderId="16" xfId="0" applyNumberFormat="1" applyFont="1" applyFill="1" applyBorder="1" applyAlignment="1">
      <alignment horizontal="right" wrapText="1"/>
    </xf>
    <xf numFmtId="164" fontId="7" fillId="6" borderId="16" xfId="0" applyNumberFormat="1" applyFont="1" applyFill="1" applyBorder="1" applyAlignment="1">
      <alignment horizontal="right" wrapText="1"/>
    </xf>
    <xf numFmtId="0" fontId="4" fillId="6" borderId="15" xfId="0" applyFont="1" applyFill="1" applyBorder="1" applyAlignment="1">
      <alignment wrapText="1"/>
    </xf>
    <xf numFmtId="164" fontId="4" fillId="0" borderId="16" xfId="0" applyNumberFormat="1" applyFont="1" applyBorder="1" applyAlignment="1">
      <alignment wrapText="1"/>
    </xf>
    <xf numFmtId="164" fontId="5" fillId="4" borderId="16" xfId="0" applyNumberFormat="1" applyFont="1" applyFill="1" applyBorder="1" applyAlignment="1">
      <alignment wrapText="1"/>
    </xf>
    <xf numFmtId="164" fontId="7" fillId="4" borderId="16" xfId="0" applyNumberFormat="1" applyFont="1" applyFill="1" applyBorder="1" applyAlignment="1">
      <alignment wrapText="1"/>
    </xf>
    <xf numFmtId="164" fontId="4" fillId="6" borderId="16" xfId="0" applyNumberFormat="1" applyFont="1" applyFill="1" applyBorder="1" applyAlignment="1">
      <alignment wrapText="1"/>
    </xf>
    <xf numFmtId="0" fontId="7" fillId="2" borderId="17" xfId="0" applyFont="1" applyFill="1" applyBorder="1" applyAlignment="1">
      <alignment horizontal="left" wrapText="1"/>
    </xf>
    <xf numFmtId="0" fontId="7" fillId="2" borderId="18" xfId="0" applyFont="1" applyFill="1" applyBorder="1" applyAlignment="1">
      <alignment wrapText="1"/>
    </xf>
    <xf numFmtId="2" fontId="7" fillId="2" borderId="18" xfId="0" applyNumberFormat="1" applyFont="1" applyFill="1" applyBorder="1" applyAlignment="1">
      <alignment wrapText="1"/>
    </xf>
    <xf numFmtId="164" fontId="7" fillId="2" borderId="18" xfId="0" applyNumberFormat="1" applyFont="1" applyFill="1" applyBorder="1" applyAlignment="1">
      <alignment wrapText="1"/>
    </xf>
    <xf numFmtId="164" fontId="7" fillId="2" borderId="19" xfId="0" applyNumberFormat="1" applyFont="1" applyFill="1" applyBorder="1" applyAlignment="1">
      <alignment wrapText="1"/>
    </xf>
    <xf numFmtId="0" fontId="6" fillId="0" borderId="20" xfId="0" applyFont="1" applyBorder="1" applyAlignment="1">
      <alignment horizontal="center" wrapText="1"/>
    </xf>
    <xf numFmtId="0" fontId="4" fillId="0" borderId="21" xfId="0" applyFont="1" applyBorder="1" applyAlignment="1">
      <alignment wrapText="1"/>
    </xf>
    <xf numFmtId="0" fontId="7" fillId="2" borderId="23" xfId="0" applyFont="1" applyFill="1" applyBorder="1" applyAlignment="1">
      <alignment wrapText="1"/>
    </xf>
    <xf numFmtId="0" fontId="4" fillId="2" borderId="24" xfId="0" applyFont="1" applyFill="1" applyBorder="1" applyAlignment="1">
      <alignment wrapText="1"/>
    </xf>
    <xf numFmtId="0" fontId="6" fillId="6" borderId="20" xfId="0" applyFont="1" applyFill="1" applyBorder="1" applyAlignment="1">
      <alignment horizontal="center" wrapText="1"/>
    </xf>
    <xf numFmtId="2" fontId="4" fillId="0" borderId="21" xfId="0" applyNumberFormat="1" applyFont="1" applyBorder="1" applyAlignment="1">
      <alignment wrapText="1"/>
    </xf>
    <xf numFmtId="164" fontId="4" fillId="0" borderId="22" xfId="0" applyNumberFormat="1" applyFont="1" applyBorder="1" applyAlignment="1">
      <alignment wrapText="1"/>
    </xf>
    <xf numFmtId="164" fontId="7" fillId="2" borderId="25" xfId="0" applyNumberFormat="1" applyFont="1" applyFill="1" applyBorder="1" applyAlignment="1">
      <alignment wrapText="1"/>
    </xf>
    <xf numFmtId="0" fontId="4" fillId="0" borderId="22" xfId="0" applyFont="1" applyBorder="1" applyAlignment="1">
      <alignment wrapText="1"/>
    </xf>
    <xf numFmtId="2" fontId="4" fillId="2" borderId="24" xfId="0" applyNumberFormat="1" applyFont="1" applyFill="1" applyBorder="1" applyAlignment="1">
      <alignment wrapText="1"/>
    </xf>
    <xf numFmtId="164" fontId="4" fillId="2" borderId="24" xfId="0" applyNumberFormat="1" applyFont="1" applyFill="1" applyBorder="1" applyAlignment="1">
      <alignment wrapText="1"/>
    </xf>
    <xf numFmtId="164" fontId="4" fillId="0" borderId="21" xfId="0" applyNumberFormat="1" applyFont="1" applyBorder="1" applyAlignment="1">
      <alignment wrapText="1"/>
    </xf>
    <xf numFmtId="0" fontId="7" fillId="2" borderId="24" xfId="0" applyFont="1" applyFill="1" applyBorder="1" applyAlignment="1">
      <alignment wrapText="1"/>
    </xf>
    <xf numFmtId="2" fontId="7" fillId="2" borderId="24" xfId="0" applyNumberFormat="1" applyFont="1" applyFill="1" applyBorder="1" applyAlignment="1">
      <alignment wrapText="1"/>
    </xf>
    <xf numFmtId="164" fontId="7" fillId="2" borderId="24" xfId="0" applyNumberFormat="1" applyFont="1" applyFill="1" applyBorder="1" applyAlignment="1">
      <alignment wrapText="1"/>
    </xf>
    <xf numFmtId="0" fontId="7" fillId="6" borderId="21" xfId="0" applyFont="1" applyFill="1" applyBorder="1" applyAlignment="1">
      <alignment wrapText="1"/>
    </xf>
    <xf numFmtId="2" fontId="7" fillId="6" borderId="21" xfId="0" applyNumberFormat="1" applyFont="1" applyFill="1" applyBorder="1" applyAlignment="1">
      <alignment wrapText="1"/>
    </xf>
    <xf numFmtId="164" fontId="7" fillId="6" borderId="21" xfId="0" applyNumberFormat="1" applyFont="1" applyFill="1" applyBorder="1" applyAlignment="1">
      <alignment wrapText="1"/>
    </xf>
    <xf numFmtId="164" fontId="7" fillId="6" borderId="22" xfId="0" applyNumberFormat="1" applyFont="1" applyFill="1" applyBorder="1" applyAlignment="1">
      <alignment wrapText="1"/>
    </xf>
    <xf numFmtId="0" fontId="7" fillId="2" borderId="23" xfId="0" applyFont="1" applyFill="1" applyBorder="1" applyAlignment="1">
      <alignment horizontal="left" wrapText="1"/>
    </xf>
    <xf numFmtId="164" fontId="10" fillId="4" borderId="14" xfId="0" applyNumberFormat="1" applyFont="1" applyFill="1" applyBorder="1" applyAlignment="1">
      <alignment horizontal="center" vertical="center" wrapText="1"/>
    </xf>
    <xf numFmtId="0" fontId="7" fillId="6" borderId="23" xfId="0" applyFont="1" applyFill="1" applyBorder="1" applyAlignment="1">
      <alignment horizontal="right" wrapText="1"/>
    </xf>
    <xf numFmtId="0" fontId="7" fillId="5" borderId="23" xfId="0" applyFont="1" applyFill="1" applyBorder="1" applyAlignment="1">
      <alignment horizontal="right" wrapText="1"/>
    </xf>
    <xf numFmtId="0" fontId="5" fillId="6" borderId="13" xfId="0" applyFont="1" applyFill="1" applyBorder="1" applyAlignment="1">
      <alignment horizontal="left" vertical="center"/>
    </xf>
    <xf numFmtId="0" fontId="4" fillId="6" borderId="13" xfId="0" applyFont="1" applyFill="1" applyBorder="1" applyAlignment="1"/>
    <xf numFmtId="0" fontId="5" fillId="5" borderId="13" xfId="0" applyFont="1" applyFill="1" applyBorder="1" applyAlignment="1">
      <alignment horizontal="left" vertical="center"/>
    </xf>
    <xf numFmtId="0" fontId="4" fillId="6" borderId="24" xfId="0" applyFont="1" applyFill="1" applyBorder="1" applyAlignment="1">
      <alignment wrapText="1"/>
    </xf>
    <xf numFmtId="2" fontId="4" fillId="6" borderId="24" xfId="0" applyNumberFormat="1" applyFont="1" applyFill="1" applyBorder="1" applyAlignment="1">
      <alignment horizontal="center" wrapText="1"/>
    </xf>
    <xf numFmtId="164" fontId="4" fillId="6" borderId="24" xfId="0" applyNumberFormat="1" applyFont="1" applyFill="1" applyBorder="1" applyAlignment="1">
      <alignment horizontal="center" wrapText="1"/>
    </xf>
    <xf numFmtId="164" fontId="7" fillId="6" borderId="25" xfId="0" applyNumberFormat="1" applyFont="1" applyFill="1" applyBorder="1" applyAlignment="1">
      <alignment horizontal="right" wrapText="1"/>
    </xf>
    <xf numFmtId="0" fontId="6" fillId="6" borderId="23" xfId="0" applyFont="1" applyFill="1" applyBorder="1" applyAlignment="1">
      <alignment horizontal="center" wrapText="1"/>
    </xf>
    <xf numFmtId="0" fontId="4" fillId="5" borderId="24" xfId="0" applyFont="1" applyFill="1" applyBorder="1" applyAlignment="1">
      <alignment wrapText="1"/>
    </xf>
    <xf numFmtId="2" fontId="4" fillId="5" borderId="24" xfId="0" applyNumberFormat="1" applyFont="1" applyFill="1" applyBorder="1" applyAlignment="1">
      <alignment horizontal="center" wrapText="1"/>
    </xf>
    <xf numFmtId="164" fontId="4" fillId="5" borderId="24" xfId="0" applyNumberFormat="1" applyFont="1" applyFill="1" applyBorder="1" applyAlignment="1">
      <alignment horizontal="center" wrapText="1"/>
    </xf>
    <xf numFmtId="164" fontId="7" fillId="5" borderId="25" xfId="0" applyNumberFormat="1" applyFont="1" applyFill="1" applyBorder="1" applyAlignment="1">
      <alignment horizontal="right" wrapText="1"/>
    </xf>
    <xf numFmtId="2" fontId="4" fillId="6" borderId="24" xfId="0" applyNumberFormat="1" applyFont="1" applyFill="1" applyBorder="1" applyAlignment="1">
      <alignment horizontal="right" wrapText="1"/>
    </xf>
    <xf numFmtId="2" fontId="4" fillId="5" borderId="24" xfId="0" applyNumberFormat="1" applyFont="1" applyFill="1" applyBorder="1" applyAlignment="1">
      <alignment horizontal="right" wrapText="1"/>
    </xf>
    <xf numFmtId="2" fontId="4" fillId="6" borderId="24" xfId="0" applyNumberFormat="1" applyFont="1" applyFill="1" applyBorder="1" applyAlignment="1">
      <alignment wrapText="1"/>
    </xf>
    <xf numFmtId="164" fontId="7" fillId="6" borderId="25" xfId="0" applyNumberFormat="1" applyFont="1" applyFill="1" applyBorder="1" applyAlignment="1">
      <alignment wrapText="1"/>
    </xf>
    <xf numFmtId="2" fontId="4" fillId="5" borderId="24" xfId="0" applyNumberFormat="1" applyFont="1" applyFill="1" applyBorder="1" applyAlignment="1">
      <alignment wrapText="1"/>
    </xf>
    <xf numFmtId="164" fontId="7" fillId="5" borderId="25" xfId="0" applyNumberFormat="1" applyFont="1" applyFill="1" applyBorder="1" applyAlignment="1">
      <alignment wrapText="1"/>
    </xf>
    <xf numFmtId="164" fontId="4" fillId="6" borderId="24" xfId="0" applyNumberFormat="1" applyFont="1" applyFill="1" applyBorder="1" applyAlignment="1">
      <alignment wrapText="1"/>
    </xf>
    <xf numFmtId="164" fontId="4" fillId="5" borderId="24" xfId="0" applyNumberFormat="1" applyFont="1" applyFill="1" applyBorder="1" applyAlignment="1">
      <alignment wrapText="1"/>
    </xf>
    <xf numFmtId="164" fontId="5" fillId="6" borderId="25" xfId="0" applyNumberFormat="1" applyFont="1" applyFill="1" applyBorder="1" applyAlignment="1">
      <alignment wrapText="1"/>
    </xf>
    <xf numFmtId="164" fontId="5" fillId="5" borderId="25" xfId="0" applyNumberFormat="1" applyFont="1" applyFill="1" applyBorder="1" applyAlignment="1">
      <alignment wrapText="1"/>
    </xf>
    <xf numFmtId="0" fontId="7" fillId="5" borderId="24" xfId="0" applyFont="1" applyFill="1" applyBorder="1" applyAlignment="1">
      <alignment wrapText="1"/>
    </xf>
    <xf numFmtId="2" fontId="7" fillId="5" borderId="24" xfId="0" applyNumberFormat="1" applyFont="1" applyFill="1" applyBorder="1" applyAlignment="1">
      <alignment wrapText="1"/>
    </xf>
    <xf numFmtId="164" fontId="7" fillId="5" borderId="24" xfId="0" applyNumberFormat="1" applyFont="1" applyFill="1" applyBorder="1" applyAlignment="1">
      <alignment wrapText="1"/>
    </xf>
    <xf numFmtId="0" fontId="7" fillId="6" borderId="24" xfId="0" applyFont="1" applyFill="1" applyBorder="1" applyAlignment="1">
      <alignment wrapText="1"/>
    </xf>
    <xf numFmtId="2" fontId="7" fillId="6" borderId="24" xfId="0" applyNumberFormat="1" applyFont="1" applyFill="1" applyBorder="1" applyAlignment="1">
      <alignment wrapText="1"/>
    </xf>
    <xf numFmtId="164" fontId="7" fillId="6" borderId="24" xfId="0" applyNumberFormat="1" applyFont="1" applyFill="1" applyBorder="1" applyAlignment="1">
      <alignment wrapText="1"/>
    </xf>
    <xf numFmtId="0" fontId="4" fillId="6" borderId="13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right"/>
    </xf>
    <xf numFmtId="164" fontId="4" fillId="6" borderId="13" xfId="0" applyNumberFormat="1" applyFont="1" applyFill="1" applyBorder="1" applyAlignment="1">
      <alignment horizontal="right"/>
    </xf>
    <xf numFmtId="4" fontId="4" fillId="6" borderId="13" xfId="0" applyNumberFormat="1" applyFont="1" applyFill="1" applyBorder="1" applyAlignment="1">
      <alignment horizontal="right"/>
    </xf>
    <xf numFmtId="0" fontId="4" fillId="4" borderId="13" xfId="0" applyFont="1" applyFill="1" applyBorder="1" applyAlignment="1"/>
    <xf numFmtId="4" fontId="4" fillId="4" borderId="13" xfId="0" applyNumberFormat="1" applyFont="1" applyFill="1" applyBorder="1" applyAlignment="1">
      <alignment horizontal="right"/>
    </xf>
    <xf numFmtId="164" fontId="4" fillId="4" borderId="13" xfId="0" applyNumberFormat="1" applyFont="1" applyFill="1" applyBorder="1" applyAlignment="1">
      <alignment horizontal="right"/>
    </xf>
    <xf numFmtId="0" fontId="4" fillId="6" borderId="23" xfId="0" applyFont="1" applyFill="1" applyBorder="1" applyAlignment="1">
      <alignment wrapText="1"/>
    </xf>
    <xf numFmtId="4" fontId="4" fillId="6" borderId="13" xfId="0" applyNumberFormat="1" applyFont="1" applyFill="1" applyBorder="1" applyAlignment="1">
      <alignment horizontal="right" wrapText="1"/>
    </xf>
    <xf numFmtId="4" fontId="4" fillId="0" borderId="13" xfId="0" applyNumberFormat="1" applyFont="1" applyBorder="1" applyAlignment="1">
      <alignment horizontal="right" wrapText="1"/>
    </xf>
    <xf numFmtId="4" fontId="4" fillId="6" borderId="13" xfId="0" applyNumberFormat="1" applyFont="1" applyFill="1" applyBorder="1" applyAlignment="1">
      <alignment horizontal="center" wrapText="1"/>
    </xf>
    <xf numFmtId="4" fontId="4" fillId="6" borderId="24" xfId="0" applyNumberFormat="1" applyFont="1" applyFill="1" applyBorder="1" applyAlignment="1">
      <alignment horizontal="right" wrapText="1"/>
    </xf>
    <xf numFmtId="164" fontId="4" fillId="6" borderId="25" xfId="0" applyNumberFormat="1" applyFont="1" applyFill="1" applyBorder="1" applyAlignment="1">
      <alignment horizontal="right" wrapText="1"/>
    </xf>
    <xf numFmtId="4" fontId="4" fillId="6" borderId="13" xfId="0" applyNumberFormat="1" applyFont="1" applyFill="1" applyBorder="1" applyAlignment="1">
      <alignment wrapText="1"/>
    </xf>
    <xf numFmtId="4" fontId="4" fillId="6" borderId="24" xfId="0" applyNumberFormat="1" applyFont="1" applyFill="1" applyBorder="1" applyAlignment="1">
      <alignment wrapText="1"/>
    </xf>
    <xf numFmtId="164" fontId="4" fillId="6" borderId="25" xfId="0" applyNumberFormat="1" applyFont="1" applyFill="1" applyBorder="1" applyAlignment="1">
      <alignment wrapText="1"/>
    </xf>
    <xf numFmtId="0" fontId="4" fillId="6" borderId="15" xfId="0" applyFont="1" applyFill="1" applyBorder="1" applyAlignment="1"/>
    <xf numFmtId="164" fontId="4" fillId="6" borderId="16" xfId="0" applyNumberFormat="1" applyFont="1" applyFill="1" applyBorder="1" applyAlignment="1">
      <alignment horizontal="right"/>
    </xf>
    <xf numFmtId="0" fontId="7" fillId="4" borderId="15" xfId="0" applyFont="1" applyFill="1" applyBorder="1" applyAlignment="1">
      <alignment horizontal="right"/>
    </xf>
    <xf numFmtId="0" fontId="3" fillId="6" borderId="15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right"/>
    </xf>
    <xf numFmtId="0" fontId="7" fillId="5" borderId="15" xfId="0" applyFont="1" applyFill="1" applyBorder="1" applyAlignment="1">
      <alignment horizontal="right"/>
    </xf>
    <xf numFmtId="164" fontId="5" fillId="5" borderId="16" xfId="0" applyNumberFormat="1" applyFont="1" applyFill="1" applyBorder="1" applyAlignment="1">
      <alignment horizontal="right"/>
    </xf>
    <xf numFmtId="164" fontId="10" fillId="5" borderId="14" xfId="0" applyNumberFormat="1" applyFont="1" applyFill="1" applyBorder="1" applyAlignment="1">
      <alignment horizontal="center" vertical="center" wrapText="1"/>
    </xf>
    <xf numFmtId="164" fontId="9" fillId="2" borderId="14" xfId="0" applyNumberFormat="1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26" xfId="0" applyFont="1" applyBorder="1" applyAlignment="1">
      <alignment horizontal="center" vertical="center" wrapText="1"/>
    </xf>
    <xf numFmtId="0" fontId="3" fillId="0" borderId="27" xfId="0" applyFont="1" applyBorder="1"/>
    <xf numFmtId="0" fontId="3" fillId="0" borderId="28" xfId="0" applyFont="1" applyBorder="1"/>
    <xf numFmtId="0" fontId="7" fillId="2" borderId="17" xfId="0" applyFont="1" applyFill="1" applyBorder="1"/>
    <xf numFmtId="0" fontId="4" fillId="2" borderId="18" xfId="0" applyFont="1" applyFill="1" applyBorder="1" applyAlignment="1"/>
    <xf numFmtId="0" fontId="4" fillId="2" borderId="18" xfId="0" applyFont="1" applyFill="1" applyBorder="1"/>
    <xf numFmtId="164" fontId="7" fillId="2" borderId="19" xfId="0" applyNumberFormat="1" applyFont="1" applyFill="1" applyBorder="1" applyAlignment="1">
      <alignment horizontal="right"/>
    </xf>
    <xf numFmtId="0" fontId="7" fillId="2" borderId="17" xfId="0" applyFont="1" applyFill="1" applyBorder="1" applyAlignment="1"/>
    <xf numFmtId="0" fontId="5" fillId="2" borderId="18" xfId="0" applyFont="1" applyFill="1" applyBorder="1" applyAlignment="1">
      <alignment horizontal="left" vertical="center"/>
    </xf>
    <xf numFmtId="164" fontId="5" fillId="2" borderId="19" xfId="0" applyNumberFormat="1" applyFont="1" applyFill="1" applyBorder="1" applyAlignment="1">
      <alignment horizontal="right"/>
    </xf>
    <xf numFmtId="0" fontId="6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wrapText="1"/>
    </xf>
    <xf numFmtId="0" fontId="4" fillId="0" borderId="27" xfId="0" applyFont="1" applyBorder="1" applyAlignment="1">
      <alignment horizontal="center" wrapText="1"/>
    </xf>
    <xf numFmtId="164" fontId="4" fillId="0" borderId="27" xfId="0" applyNumberFormat="1" applyFont="1" applyBorder="1" applyAlignment="1">
      <alignment horizontal="center" wrapText="1"/>
    </xf>
    <xf numFmtId="164" fontId="4" fillId="0" borderId="28" xfId="0" applyNumberFormat="1" applyFont="1" applyBorder="1" applyAlignment="1">
      <alignment horizontal="right" wrapText="1"/>
    </xf>
    <xf numFmtId="0" fontId="7" fillId="2" borderId="17" xfId="0" applyFont="1" applyFill="1" applyBorder="1" applyAlignment="1">
      <alignment wrapText="1"/>
    </xf>
    <xf numFmtId="0" fontId="4" fillId="2" borderId="18" xfId="0" applyFont="1" applyFill="1" applyBorder="1" applyAlignment="1">
      <alignment wrapText="1"/>
    </xf>
    <xf numFmtId="2" fontId="4" fillId="2" borderId="18" xfId="0" applyNumberFormat="1" applyFont="1" applyFill="1" applyBorder="1" applyAlignment="1">
      <alignment horizontal="center" wrapText="1"/>
    </xf>
    <xf numFmtId="164" fontId="4" fillId="2" borderId="18" xfId="0" applyNumberFormat="1" applyFont="1" applyFill="1" applyBorder="1" applyAlignment="1">
      <alignment horizontal="center" wrapText="1"/>
    </xf>
    <xf numFmtId="164" fontId="7" fillId="2" borderId="19" xfId="0" applyNumberFormat="1" applyFont="1" applyFill="1" applyBorder="1" applyAlignment="1">
      <alignment horizontal="right" wrapText="1"/>
    </xf>
    <xf numFmtId="0" fontId="6" fillId="6" borderId="26" xfId="0" applyFont="1" applyFill="1" applyBorder="1" applyAlignment="1">
      <alignment horizontal="center" wrapText="1"/>
    </xf>
    <xf numFmtId="0" fontId="4" fillId="6" borderId="27" xfId="0" applyFont="1" applyFill="1" applyBorder="1" applyAlignment="1">
      <alignment wrapText="1"/>
    </xf>
    <xf numFmtId="2" fontId="4" fillId="6" borderId="27" xfId="0" applyNumberFormat="1" applyFont="1" applyFill="1" applyBorder="1" applyAlignment="1">
      <alignment horizontal="center" wrapText="1"/>
    </xf>
    <xf numFmtId="164" fontId="4" fillId="6" borderId="27" xfId="0" applyNumberFormat="1" applyFont="1" applyFill="1" applyBorder="1" applyAlignment="1">
      <alignment horizontal="center" wrapText="1"/>
    </xf>
    <xf numFmtId="164" fontId="7" fillId="6" borderId="28" xfId="0" applyNumberFormat="1" applyFont="1" applyFill="1" applyBorder="1" applyAlignment="1">
      <alignment horizontal="right" wrapText="1"/>
    </xf>
    <xf numFmtId="2" fontId="4" fillId="0" borderId="27" xfId="0" applyNumberFormat="1" applyFont="1" applyBorder="1" applyAlignment="1">
      <alignment horizontal="center" wrapText="1"/>
    </xf>
    <xf numFmtId="0" fontId="4" fillId="0" borderId="28" xfId="0" applyFont="1" applyBorder="1" applyAlignment="1">
      <alignment wrapText="1"/>
    </xf>
    <xf numFmtId="164" fontId="10" fillId="7" borderId="29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wrapText="1"/>
    </xf>
    <xf numFmtId="4" fontId="8" fillId="7" borderId="13" xfId="0" applyNumberFormat="1" applyFont="1" applyFill="1" applyBorder="1" applyAlignment="1">
      <alignment wrapText="1"/>
    </xf>
    <xf numFmtId="164" fontId="8" fillId="7" borderId="13" xfId="0" applyNumberFormat="1" applyFont="1" applyFill="1" applyBorder="1" applyAlignment="1">
      <alignment wrapText="1"/>
    </xf>
    <xf numFmtId="0" fontId="8" fillId="7" borderId="26" xfId="0" applyFont="1" applyFill="1" applyBorder="1" applyAlignment="1">
      <alignment wrapText="1"/>
    </xf>
    <xf numFmtId="0" fontId="8" fillId="7" borderId="27" xfId="0" applyFont="1" applyFill="1" applyBorder="1" applyAlignment="1">
      <alignment wrapText="1"/>
    </xf>
    <xf numFmtId="4" fontId="8" fillId="7" borderId="27" xfId="0" applyNumberFormat="1" applyFont="1" applyFill="1" applyBorder="1" applyAlignment="1">
      <alignment wrapText="1"/>
    </xf>
    <xf numFmtId="164" fontId="8" fillId="7" borderId="27" xfId="0" applyNumberFormat="1" applyFont="1" applyFill="1" applyBorder="1" applyAlignment="1">
      <alignment wrapText="1"/>
    </xf>
    <xf numFmtId="164" fontId="8" fillId="7" borderId="28" xfId="0" applyNumberFormat="1" applyFont="1" applyFill="1" applyBorder="1" applyAlignment="1">
      <alignment wrapText="1"/>
    </xf>
    <xf numFmtId="0" fontId="8" fillId="7" borderId="15" xfId="0" applyFont="1" applyFill="1" applyBorder="1" applyAlignment="1">
      <alignment wrapText="1"/>
    </xf>
    <xf numFmtId="164" fontId="8" fillId="7" borderId="16" xfId="0" applyNumberFormat="1" applyFont="1" applyFill="1" applyBorder="1" applyAlignment="1">
      <alignment wrapText="1"/>
    </xf>
    <xf numFmtId="0" fontId="8" fillId="7" borderId="17" xfId="0" applyFont="1" applyFill="1" applyBorder="1" applyAlignment="1">
      <alignment wrapText="1"/>
    </xf>
    <xf numFmtId="0" fontId="8" fillId="7" borderId="18" xfId="0" applyFont="1" applyFill="1" applyBorder="1" applyAlignment="1">
      <alignment wrapText="1"/>
    </xf>
    <xf numFmtId="4" fontId="8" fillId="7" borderId="18" xfId="0" applyNumberFormat="1" applyFont="1" applyFill="1" applyBorder="1" applyAlignment="1">
      <alignment wrapText="1"/>
    </xf>
    <xf numFmtId="164" fontId="8" fillId="7" borderId="18" xfId="0" applyNumberFormat="1" applyFont="1" applyFill="1" applyBorder="1" applyAlignment="1">
      <alignment wrapText="1"/>
    </xf>
    <xf numFmtId="164" fontId="8" fillId="7" borderId="19" xfId="0" applyNumberFormat="1" applyFont="1" applyFill="1" applyBorder="1" applyAlignment="1">
      <alignment wrapText="1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5" fillId="6" borderId="7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10" fillId="4" borderId="7" xfId="0" applyFont="1" applyFill="1" applyBorder="1" applyAlignment="1">
      <alignment horizontal="left" vertical="center" wrapText="1"/>
    </xf>
    <xf numFmtId="0" fontId="10" fillId="4" borderId="8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horizontal="left" vertical="center"/>
    </xf>
    <xf numFmtId="0" fontId="10" fillId="5" borderId="7" xfId="0" applyFont="1" applyFill="1" applyBorder="1" applyAlignment="1">
      <alignment horizontal="left" vertical="center" wrapText="1"/>
    </xf>
    <xf numFmtId="0" fontId="10" fillId="5" borderId="8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zoomScale="85" zoomScaleNormal="85" workbookViewId="0">
      <selection activeCell="K23" sqref="K23"/>
    </sheetView>
  </sheetViews>
  <sheetFormatPr defaultRowHeight="14.25"/>
  <cols>
    <col min="1" max="1" width="61.875" customWidth="1"/>
    <col min="2" max="2" width="8" customWidth="1"/>
    <col min="3" max="3" width="10.5" customWidth="1"/>
    <col min="4" max="4" width="15.375" customWidth="1"/>
    <col min="5" max="5" width="24.875" customWidth="1"/>
  </cols>
  <sheetData>
    <row r="1" spans="1:5">
      <c r="A1" s="177" t="s">
        <v>88</v>
      </c>
      <c r="B1" s="177"/>
      <c r="C1" s="177"/>
      <c r="D1" s="177"/>
      <c r="E1" s="177"/>
    </row>
    <row r="2" spans="1:5">
      <c r="A2" s="3"/>
      <c r="B2" s="3"/>
      <c r="C2" s="3"/>
      <c r="D2" s="3"/>
      <c r="E2" s="3"/>
    </row>
    <row r="3" spans="1:5">
      <c r="A3" s="133" t="s">
        <v>13</v>
      </c>
      <c r="B3" s="2"/>
      <c r="C3" s="4"/>
      <c r="D3" s="178" t="s">
        <v>14</v>
      </c>
      <c r="E3" s="178"/>
    </row>
    <row r="4" spans="1:5">
      <c r="A4" s="178" t="s">
        <v>16</v>
      </c>
      <c r="B4" s="178"/>
      <c r="C4" s="4"/>
      <c r="D4" s="178" t="s">
        <v>17</v>
      </c>
      <c r="E4" s="178"/>
    </row>
    <row r="5" spans="1:5">
      <c r="A5" s="178" t="s">
        <v>84</v>
      </c>
      <c r="B5" s="178"/>
      <c r="C5" s="4"/>
      <c r="D5" s="178" t="s">
        <v>25</v>
      </c>
      <c r="E5" s="178"/>
    </row>
    <row r="6" spans="1:5">
      <c r="A6" s="178" t="s">
        <v>85</v>
      </c>
      <c r="B6" s="178"/>
      <c r="C6" s="4"/>
      <c r="D6" s="200" t="s">
        <v>26</v>
      </c>
      <c r="E6" s="200"/>
    </row>
    <row r="7" spans="1:5">
      <c r="A7" s="178" t="s">
        <v>86</v>
      </c>
      <c r="B7" s="178"/>
      <c r="C7" s="4"/>
      <c r="D7" s="178" t="s">
        <v>27</v>
      </c>
      <c r="E7" s="178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201" t="s">
        <v>15</v>
      </c>
      <c r="B10" s="201"/>
      <c r="C10" s="201"/>
      <c r="D10" s="201"/>
      <c r="E10" s="201"/>
    </row>
    <row r="11" spans="1:5">
      <c r="A11" s="201" t="s">
        <v>87</v>
      </c>
      <c r="B11" s="201"/>
      <c r="C11" s="201"/>
      <c r="D11" s="201"/>
      <c r="E11" s="201"/>
    </row>
    <row r="12" spans="1:5">
      <c r="A12" s="4"/>
      <c r="B12" s="4"/>
      <c r="C12" s="4"/>
      <c r="D12" s="4"/>
      <c r="E12" s="4"/>
    </row>
    <row r="13" spans="1:5" ht="15" thickBot="1">
      <c r="A13" s="4"/>
      <c r="B13" s="4"/>
      <c r="C13" s="4"/>
      <c r="D13" s="4"/>
      <c r="E13" s="4"/>
    </row>
    <row r="14" spans="1:5" ht="21" thickBot="1">
      <c r="A14" s="188" t="s">
        <v>63</v>
      </c>
      <c r="B14" s="189"/>
      <c r="C14" s="189"/>
      <c r="D14" s="189"/>
      <c r="E14" s="190"/>
    </row>
    <row r="15" spans="1:5" ht="28.5" customHeight="1" thickBot="1">
      <c r="A15" s="188" t="s">
        <v>89</v>
      </c>
      <c r="B15" s="189"/>
      <c r="C15" s="189"/>
      <c r="D15" s="189"/>
      <c r="E15" s="190"/>
    </row>
    <row r="16" spans="1:5">
      <c r="A16" s="182" t="s">
        <v>90</v>
      </c>
      <c r="B16" s="183"/>
      <c r="C16" s="183"/>
      <c r="D16" s="183"/>
      <c r="E16" s="184"/>
    </row>
    <row r="17" spans="1:5" ht="92.45" customHeight="1" thickBot="1">
      <c r="A17" s="185"/>
      <c r="B17" s="186"/>
      <c r="C17" s="186"/>
      <c r="D17" s="186"/>
      <c r="E17" s="187"/>
    </row>
    <row r="18" spans="1:5" ht="27" customHeight="1" thickBot="1">
      <c r="A18" s="5" t="s">
        <v>28</v>
      </c>
      <c r="B18" s="6" t="s">
        <v>0</v>
      </c>
      <c r="C18" s="6" t="s">
        <v>1</v>
      </c>
      <c r="D18" s="6" t="s">
        <v>2</v>
      </c>
      <c r="E18" s="7" t="s">
        <v>3</v>
      </c>
    </row>
    <row r="19" spans="1:5" ht="24" customHeight="1" thickBot="1">
      <c r="A19" s="179" t="s">
        <v>62</v>
      </c>
      <c r="B19" s="180"/>
      <c r="C19" s="180"/>
      <c r="D19" s="180"/>
      <c r="E19" s="181"/>
    </row>
    <row r="20" spans="1:5">
      <c r="A20" s="134" t="s">
        <v>4</v>
      </c>
      <c r="B20" s="135"/>
      <c r="C20" s="135"/>
      <c r="D20" s="135"/>
      <c r="E20" s="136"/>
    </row>
    <row r="21" spans="1:5" ht="15">
      <c r="A21" s="33" t="s">
        <v>65</v>
      </c>
      <c r="B21" s="8" t="s">
        <v>5</v>
      </c>
      <c r="C21" s="9">
        <f>1555+(158.1*0.9)+(17*2.64)</f>
        <v>1742.17</v>
      </c>
      <c r="D21" s="10">
        <v>344.4</v>
      </c>
      <c r="E21" s="34">
        <f>C21*D21</f>
        <v>600003.348</v>
      </c>
    </row>
    <row r="22" spans="1:5" ht="36" customHeight="1">
      <c r="A22" s="33" t="s">
        <v>64</v>
      </c>
      <c r="B22" s="8" t="s">
        <v>5</v>
      </c>
      <c r="C22" s="9">
        <f>1555-(1.1*1.1*17)</f>
        <v>1534.43</v>
      </c>
      <c r="D22" s="10">
        <v>488.78</v>
      </c>
      <c r="E22" s="34">
        <f t="shared" ref="E22:E24" si="0">C22*D22</f>
        <v>749998.69539999997</v>
      </c>
    </row>
    <row r="23" spans="1:5" ht="15">
      <c r="A23" s="33" t="s">
        <v>66</v>
      </c>
      <c r="B23" s="8" t="s">
        <v>11</v>
      </c>
      <c r="C23" s="9">
        <v>4</v>
      </c>
      <c r="D23" s="10">
        <v>2500</v>
      </c>
      <c r="E23" s="34">
        <f t="shared" si="0"/>
        <v>10000</v>
      </c>
    </row>
    <row r="24" spans="1:5" ht="15">
      <c r="A24" s="33" t="s">
        <v>67</v>
      </c>
      <c r="B24" s="8" t="s">
        <v>8</v>
      </c>
      <c r="C24" s="9">
        <v>158.1</v>
      </c>
      <c r="D24" s="10">
        <v>250</v>
      </c>
      <c r="E24" s="34">
        <f t="shared" si="0"/>
        <v>39525</v>
      </c>
    </row>
    <row r="25" spans="1:5" ht="15">
      <c r="A25" s="36" t="s">
        <v>6</v>
      </c>
      <c r="B25" s="12"/>
      <c r="C25" s="13"/>
      <c r="D25" s="13"/>
      <c r="E25" s="37">
        <f>SUM(E21:E24)</f>
        <v>1399527.0433999998</v>
      </c>
    </row>
    <row r="26" spans="1:5" ht="15.75" thickBot="1">
      <c r="A26" s="137" t="s">
        <v>7</v>
      </c>
      <c r="B26" s="138"/>
      <c r="C26" s="139"/>
      <c r="D26" s="139"/>
      <c r="E26" s="140">
        <f>E25</f>
        <v>1399527.0433999998</v>
      </c>
    </row>
    <row r="27" spans="1:5" ht="27.95" customHeight="1" thickBot="1">
      <c r="A27" s="208" t="s">
        <v>30</v>
      </c>
      <c r="B27" s="209"/>
      <c r="C27" s="209"/>
      <c r="D27" s="209"/>
      <c r="E27" s="210"/>
    </row>
    <row r="28" spans="1:5" ht="14.45" customHeight="1">
      <c r="A28" s="130" t="s">
        <v>4</v>
      </c>
      <c r="B28" s="131"/>
      <c r="C28" s="131"/>
      <c r="D28" s="131"/>
      <c r="E28" s="132"/>
    </row>
    <row r="29" spans="1:5" ht="15" customHeight="1">
      <c r="A29" s="121" t="s">
        <v>29</v>
      </c>
      <c r="B29" s="78" t="s">
        <v>8</v>
      </c>
      <c r="C29" s="108">
        <v>158.1</v>
      </c>
      <c r="D29" s="107">
        <v>220</v>
      </c>
      <c r="E29" s="122">
        <f>C29*D29</f>
        <v>34782</v>
      </c>
    </row>
    <row r="30" spans="1:5" ht="15" customHeight="1">
      <c r="A30" s="123" t="s">
        <v>6</v>
      </c>
      <c r="B30" s="109"/>
      <c r="C30" s="110"/>
      <c r="D30" s="111"/>
      <c r="E30" s="37">
        <f>E29</f>
        <v>34782</v>
      </c>
    </row>
    <row r="31" spans="1:5" ht="15" customHeight="1">
      <c r="A31" s="124" t="s">
        <v>9</v>
      </c>
      <c r="B31" s="77"/>
      <c r="C31" s="105"/>
      <c r="D31" s="106"/>
      <c r="E31" s="125"/>
    </row>
    <row r="32" spans="1:5" ht="29.45" customHeight="1">
      <c r="A32" s="44" t="s">
        <v>34</v>
      </c>
      <c r="B32" s="78" t="s">
        <v>8</v>
      </c>
      <c r="C32" s="108">
        <f>158+42</f>
        <v>200</v>
      </c>
      <c r="D32" s="107">
        <v>630</v>
      </c>
      <c r="E32" s="122">
        <f>C32*D32</f>
        <v>126000</v>
      </c>
    </row>
    <row r="33" spans="1:5" ht="15" customHeight="1">
      <c r="A33" s="121" t="s">
        <v>68</v>
      </c>
      <c r="B33" s="78" t="s">
        <v>11</v>
      </c>
      <c r="C33" s="108">
        <f>200*10</f>
        <v>2000</v>
      </c>
      <c r="D33" s="107">
        <v>2</v>
      </c>
      <c r="E33" s="122">
        <f>C33*D33</f>
        <v>4000</v>
      </c>
    </row>
    <row r="34" spans="1:5" ht="15" customHeight="1">
      <c r="A34" s="126" t="s">
        <v>10</v>
      </c>
      <c r="B34" s="79"/>
      <c r="C34" s="79"/>
      <c r="D34" s="79"/>
      <c r="E34" s="127">
        <f>SUM(E32:E33)</f>
        <v>130000</v>
      </c>
    </row>
    <row r="35" spans="1:5" ht="19.5" customHeight="1" thickBot="1">
      <c r="A35" s="141" t="s">
        <v>7</v>
      </c>
      <c r="B35" s="142"/>
      <c r="C35" s="142"/>
      <c r="D35" s="142"/>
      <c r="E35" s="143">
        <f>SUM(E30,E34)</f>
        <v>164782</v>
      </c>
    </row>
    <row r="36" spans="1:5" ht="24.6" customHeight="1" thickBot="1">
      <c r="A36" s="179" t="s">
        <v>31</v>
      </c>
      <c r="B36" s="180"/>
      <c r="C36" s="180"/>
      <c r="D36" s="180"/>
      <c r="E36" s="181"/>
    </row>
    <row r="37" spans="1:5" ht="15">
      <c r="A37" s="144" t="s">
        <v>4</v>
      </c>
      <c r="B37" s="145"/>
      <c r="C37" s="146"/>
      <c r="D37" s="147"/>
      <c r="E37" s="148"/>
    </row>
    <row r="38" spans="1:5" ht="15">
      <c r="A38" s="35" t="s">
        <v>35</v>
      </c>
      <c r="B38" s="11" t="s">
        <v>5</v>
      </c>
      <c r="C38" s="113">
        <f>1555-(1.1*1.1*17)+(158.1*0.2)</f>
        <v>1566.05</v>
      </c>
      <c r="D38" s="14">
        <v>50</v>
      </c>
      <c r="E38" s="39">
        <f>C38*D38</f>
        <v>78302.5</v>
      </c>
    </row>
    <row r="39" spans="1:5" ht="15">
      <c r="A39" s="36" t="s">
        <v>6</v>
      </c>
      <c r="B39" s="15"/>
      <c r="C39" s="16"/>
      <c r="D39" s="17"/>
      <c r="E39" s="40">
        <f>SUM(E38:E38)</f>
        <v>78302.5</v>
      </c>
    </row>
    <row r="40" spans="1:5" ht="15">
      <c r="A40" s="38" t="s">
        <v>9</v>
      </c>
      <c r="B40" s="11"/>
      <c r="C40" s="18"/>
      <c r="D40" s="14"/>
      <c r="E40" s="39"/>
    </row>
    <row r="41" spans="1:5" ht="15">
      <c r="A41" s="35" t="s">
        <v>36</v>
      </c>
      <c r="B41" s="11" t="s">
        <v>5</v>
      </c>
      <c r="C41" s="114">
        <f>C38*1.15</f>
        <v>1800.9574999999998</v>
      </c>
      <c r="D41" s="14">
        <v>40</v>
      </c>
      <c r="E41" s="39">
        <f>C41*D41</f>
        <v>72038.299999999988</v>
      </c>
    </row>
    <row r="42" spans="1:5" ht="15">
      <c r="A42" s="35" t="s">
        <v>37</v>
      </c>
      <c r="B42" s="11" t="s">
        <v>11</v>
      </c>
      <c r="C42" s="114">
        <v>21</v>
      </c>
      <c r="D42" s="14">
        <v>350</v>
      </c>
      <c r="E42" s="39">
        <f>C42*D42</f>
        <v>7350</v>
      </c>
    </row>
    <row r="43" spans="1:5" ht="15">
      <c r="A43" s="41" t="s">
        <v>10</v>
      </c>
      <c r="B43" s="19"/>
      <c r="C43" s="20"/>
      <c r="D43" s="21"/>
      <c r="E43" s="42">
        <f>SUM(E41:E42)</f>
        <v>79388.299999999988</v>
      </c>
    </row>
    <row r="44" spans="1:5" ht="15.75" thickBot="1">
      <c r="A44" s="149" t="s">
        <v>7</v>
      </c>
      <c r="B44" s="150"/>
      <c r="C44" s="151"/>
      <c r="D44" s="152"/>
      <c r="E44" s="153">
        <f>SUM(E39,E43)</f>
        <v>157690.79999999999</v>
      </c>
    </row>
    <row r="45" spans="1:5" ht="30.95" customHeight="1" thickBot="1">
      <c r="A45" s="202" t="s">
        <v>20</v>
      </c>
      <c r="B45" s="203"/>
      <c r="C45" s="203"/>
      <c r="D45" s="203"/>
      <c r="E45" s="204"/>
    </row>
    <row r="46" spans="1:5" ht="15">
      <c r="A46" s="154" t="s">
        <v>4</v>
      </c>
      <c r="B46" s="155"/>
      <c r="C46" s="156"/>
      <c r="D46" s="157"/>
      <c r="E46" s="158"/>
    </row>
    <row r="47" spans="1:5" ht="30">
      <c r="A47" s="44" t="s">
        <v>20</v>
      </c>
      <c r="B47" s="22" t="s">
        <v>5</v>
      </c>
      <c r="C47" s="115">
        <v>99</v>
      </c>
      <c r="D47" s="23">
        <v>350</v>
      </c>
      <c r="E47" s="43">
        <f>C47*D47</f>
        <v>34650</v>
      </c>
    </row>
    <row r="48" spans="1:5" ht="15">
      <c r="A48" s="36" t="s">
        <v>6</v>
      </c>
      <c r="B48" s="15"/>
      <c r="C48" s="24"/>
      <c r="D48" s="17"/>
      <c r="E48" s="40">
        <f>SUM(E47)</f>
        <v>34650</v>
      </c>
    </row>
    <row r="49" spans="1:5" ht="15">
      <c r="A49" s="84" t="s">
        <v>9</v>
      </c>
      <c r="B49" s="80"/>
      <c r="C49" s="81"/>
      <c r="D49" s="82"/>
      <c r="E49" s="83"/>
    </row>
    <row r="50" spans="1:5" ht="30">
      <c r="A50" s="112" t="s">
        <v>56</v>
      </c>
      <c r="B50" s="80" t="s">
        <v>59</v>
      </c>
      <c r="C50" s="91">
        <v>2.6244000000000001</v>
      </c>
      <c r="D50" s="95">
        <v>11500</v>
      </c>
      <c r="E50" s="120">
        <f>C50*D50</f>
        <v>30180.600000000002</v>
      </c>
    </row>
    <row r="51" spans="1:5" ht="30">
      <c r="A51" s="112" t="s">
        <v>57</v>
      </c>
      <c r="B51" s="80" t="s">
        <v>59</v>
      </c>
      <c r="C51" s="91">
        <v>2.7360000000000002</v>
      </c>
      <c r="D51" s="95">
        <v>11500</v>
      </c>
      <c r="E51" s="120">
        <f t="shared" ref="E51:E58" si="1">C51*D51</f>
        <v>31464.000000000004</v>
      </c>
    </row>
    <row r="52" spans="1:5" ht="30">
      <c r="A52" s="112" t="s">
        <v>58</v>
      </c>
      <c r="B52" s="80" t="s">
        <v>59</v>
      </c>
      <c r="C52" s="91">
        <v>0.27376</v>
      </c>
      <c r="D52" s="95">
        <v>9300</v>
      </c>
      <c r="E52" s="120">
        <f t="shared" si="1"/>
        <v>2545.9679999999998</v>
      </c>
    </row>
    <row r="53" spans="1:5" ht="15">
      <c r="A53" s="112" t="s">
        <v>60</v>
      </c>
      <c r="B53" s="80" t="s">
        <v>11</v>
      </c>
      <c r="C53" s="91">
        <v>100</v>
      </c>
      <c r="D53" s="95">
        <v>8</v>
      </c>
      <c r="E53" s="120">
        <f t="shared" si="1"/>
        <v>800</v>
      </c>
    </row>
    <row r="54" spans="1:5" ht="15">
      <c r="A54" s="112" t="s">
        <v>76</v>
      </c>
      <c r="B54" s="80" t="s">
        <v>11</v>
      </c>
      <c r="C54" s="91">
        <v>250</v>
      </c>
      <c r="D54" s="95">
        <v>7.5</v>
      </c>
      <c r="E54" s="120">
        <f t="shared" si="1"/>
        <v>1875</v>
      </c>
    </row>
    <row r="55" spans="1:5" ht="15">
      <c r="A55" s="112" t="s">
        <v>77</v>
      </c>
      <c r="B55" s="80" t="s">
        <v>11</v>
      </c>
      <c r="C55" s="119">
        <v>450</v>
      </c>
      <c r="D55" s="95">
        <v>7</v>
      </c>
      <c r="E55" s="120">
        <f t="shared" si="1"/>
        <v>3150</v>
      </c>
    </row>
    <row r="56" spans="1:5" ht="15">
      <c r="A56" s="112" t="s">
        <v>78</v>
      </c>
      <c r="B56" s="80" t="s">
        <v>11</v>
      </c>
      <c r="C56" s="119">
        <v>350</v>
      </c>
      <c r="D56" s="95">
        <v>17.5</v>
      </c>
      <c r="E56" s="120">
        <f t="shared" si="1"/>
        <v>6125</v>
      </c>
    </row>
    <row r="57" spans="1:5" ht="15">
      <c r="A57" s="112" t="s">
        <v>80</v>
      </c>
      <c r="B57" s="80" t="s">
        <v>11</v>
      </c>
      <c r="C57" s="119">
        <v>250</v>
      </c>
      <c r="D57" s="95">
        <v>21</v>
      </c>
      <c r="E57" s="120">
        <f t="shared" si="1"/>
        <v>5250</v>
      </c>
    </row>
    <row r="58" spans="1:5" ht="15">
      <c r="A58" s="112" t="s">
        <v>79</v>
      </c>
      <c r="B58" s="80" t="s">
        <v>11</v>
      </c>
      <c r="C58" s="119">
        <v>500</v>
      </c>
      <c r="D58" s="95">
        <v>3.5</v>
      </c>
      <c r="E58" s="120">
        <f t="shared" si="1"/>
        <v>1750</v>
      </c>
    </row>
    <row r="59" spans="1:5" ht="15">
      <c r="A59" s="76" t="s">
        <v>10</v>
      </c>
      <c r="B59" s="85"/>
      <c r="C59" s="86"/>
      <c r="D59" s="87"/>
      <c r="E59" s="88">
        <f>SUM(E50:E58)</f>
        <v>83140.567999999999</v>
      </c>
    </row>
    <row r="60" spans="1:5" ht="15.75" thickBot="1">
      <c r="A60" s="149" t="s">
        <v>7</v>
      </c>
      <c r="B60" s="150"/>
      <c r="C60" s="151"/>
      <c r="D60" s="152"/>
      <c r="E60" s="153">
        <f>SUM(E48,E59)</f>
        <v>117790.568</v>
      </c>
    </row>
    <row r="61" spans="1:5" ht="16.5" thickBot="1">
      <c r="A61" s="179" t="s">
        <v>38</v>
      </c>
      <c r="B61" s="180"/>
      <c r="C61" s="180"/>
      <c r="D61" s="180"/>
      <c r="E61" s="181"/>
    </row>
    <row r="62" spans="1:5" ht="15">
      <c r="A62" s="144" t="s">
        <v>4</v>
      </c>
      <c r="B62" s="145"/>
      <c r="C62" s="159"/>
      <c r="D62" s="147"/>
      <c r="E62" s="148"/>
    </row>
    <row r="63" spans="1:5" ht="30">
      <c r="A63" s="35" t="s">
        <v>39</v>
      </c>
      <c r="B63" s="11" t="s">
        <v>5</v>
      </c>
      <c r="C63" s="113">
        <f>1555-(1.1*1.1*17)</f>
        <v>1534.43</v>
      </c>
      <c r="D63" s="14">
        <v>300</v>
      </c>
      <c r="E63" s="39">
        <f>C63*D63</f>
        <v>460329</v>
      </c>
    </row>
    <row r="64" spans="1:5" ht="15">
      <c r="A64" s="35" t="s">
        <v>21</v>
      </c>
      <c r="B64" s="11" t="s">
        <v>5</v>
      </c>
      <c r="C64" s="113">
        <v>1534</v>
      </c>
      <c r="D64" s="14">
        <v>50</v>
      </c>
      <c r="E64" s="39">
        <f>C64*D64</f>
        <v>76700</v>
      </c>
    </row>
    <row r="65" spans="1:5" ht="15">
      <c r="A65" s="36" t="s">
        <v>6</v>
      </c>
      <c r="B65" s="15"/>
      <c r="C65" s="16"/>
      <c r="D65" s="17"/>
      <c r="E65" s="40">
        <f>SUM(E63:E64)</f>
        <v>537029</v>
      </c>
    </row>
    <row r="66" spans="1:5" ht="15">
      <c r="A66" s="84" t="s">
        <v>9</v>
      </c>
      <c r="B66" s="80"/>
      <c r="C66" s="89"/>
      <c r="D66" s="82"/>
      <c r="E66" s="83"/>
    </row>
    <row r="67" spans="1:5" ht="30">
      <c r="A67" s="112" t="s">
        <v>40</v>
      </c>
      <c r="B67" s="80" t="s">
        <v>5</v>
      </c>
      <c r="C67" s="116">
        <f>C63*1.03</f>
        <v>1580.4629000000002</v>
      </c>
      <c r="D67" s="82">
        <v>2000</v>
      </c>
      <c r="E67" s="117">
        <f>C67*D67</f>
        <v>3160925.8000000003</v>
      </c>
    </row>
    <row r="68" spans="1:5" ht="30">
      <c r="A68" s="112" t="s">
        <v>81</v>
      </c>
      <c r="B68" s="80" t="s">
        <v>11</v>
      </c>
      <c r="C68" s="116">
        <v>4741</v>
      </c>
      <c r="D68" s="82">
        <v>18.5</v>
      </c>
      <c r="E68" s="117">
        <f>C68*D68</f>
        <v>87708.5</v>
      </c>
    </row>
    <row r="69" spans="1:5" ht="15">
      <c r="A69" s="76" t="s">
        <v>10</v>
      </c>
      <c r="B69" s="85"/>
      <c r="C69" s="90"/>
      <c r="D69" s="87"/>
      <c r="E69" s="88">
        <f>SUM(E67:E68)</f>
        <v>3248634.3000000003</v>
      </c>
    </row>
    <row r="70" spans="1:5" ht="15.75" thickBot="1">
      <c r="A70" s="149" t="s">
        <v>7</v>
      </c>
      <c r="B70" s="150"/>
      <c r="C70" s="150"/>
      <c r="D70" s="150"/>
      <c r="E70" s="153">
        <f>SUM(E65,E69)</f>
        <v>3785663.3000000003</v>
      </c>
    </row>
    <row r="71" spans="1:5" ht="16.5" thickBot="1">
      <c r="A71" s="179" t="s">
        <v>42</v>
      </c>
      <c r="B71" s="180"/>
      <c r="C71" s="180"/>
      <c r="D71" s="180"/>
      <c r="E71" s="181"/>
    </row>
    <row r="72" spans="1:5" ht="15">
      <c r="A72" s="144" t="s">
        <v>4</v>
      </c>
      <c r="B72" s="145"/>
      <c r="C72" s="145"/>
      <c r="D72" s="145"/>
      <c r="E72" s="160"/>
    </row>
    <row r="73" spans="1:5" ht="45">
      <c r="A73" s="35" t="s">
        <v>69</v>
      </c>
      <c r="B73" s="11" t="s">
        <v>5</v>
      </c>
      <c r="C73" s="118">
        <f>C63-C74</f>
        <v>744.43000000000006</v>
      </c>
      <c r="D73" s="14">
        <v>430</v>
      </c>
      <c r="E73" s="45">
        <f>C73*D73</f>
        <v>320104.90000000002</v>
      </c>
    </row>
    <row r="74" spans="1:5" ht="45">
      <c r="A74" s="35" t="s">
        <v>70</v>
      </c>
      <c r="B74" s="11" t="s">
        <v>5</v>
      </c>
      <c r="C74" s="118">
        <f>(5*36.9*2)+(5*42.1*2)</f>
        <v>790</v>
      </c>
      <c r="D74" s="14">
        <v>600</v>
      </c>
      <c r="E74" s="45">
        <f>C74*D74</f>
        <v>474000</v>
      </c>
    </row>
    <row r="75" spans="1:5" ht="15">
      <c r="A75" s="36" t="s">
        <v>6</v>
      </c>
      <c r="B75" s="15"/>
      <c r="C75" s="26"/>
      <c r="D75" s="17"/>
      <c r="E75" s="47">
        <f>SUM(E73:E74)</f>
        <v>794104.9</v>
      </c>
    </row>
    <row r="76" spans="1:5" ht="15">
      <c r="A76" s="84" t="s">
        <v>9</v>
      </c>
      <c r="B76" s="80"/>
      <c r="C76" s="91"/>
      <c r="D76" s="82"/>
      <c r="E76" s="92"/>
    </row>
    <row r="77" spans="1:5" ht="15">
      <c r="A77" s="75"/>
      <c r="B77" s="80"/>
      <c r="C77" s="91"/>
      <c r="D77" s="82"/>
      <c r="E77" s="92"/>
    </row>
    <row r="78" spans="1:5" ht="15">
      <c r="A78" s="112" t="s">
        <v>82</v>
      </c>
      <c r="B78" s="80" t="s">
        <v>5</v>
      </c>
      <c r="C78" s="119">
        <f>(C73*1.2)+(C74*1.5)</f>
        <v>2078.3159999999998</v>
      </c>
      <c r="D78" s="82">
        <v>1167</v>
      </c>
      <c r="E78" s="120">
        <f>C78*D78</f>
        <v>2425394.7719999999</v>
      </c>
    </row>
    <row r="79" spans="1:5" ht="30">
      <c r="A79" s="112" t="s">
        <v>81</v>
      </c>
      <c r="B79" s="80" t="s">
        <v>11</v>
      </c>
      <c r="C79" s="119">
        <f>1534*5</f>
        <v>7670</v>
      </c>
      <c r="D79" s="82">
        <f>D68</f>
        <v>18.5</v>
      </c>
      <c r="E79" s="120">
        <f>C79*D79</f>
        <v>141895</v>
      </c>
    </row>
    <row r="80" spans="1:5" ht="15">
      <c r="A80" s="112" t="s">
        <v>41</v>
      </c>
      <c r="B80" s="80" t="s">
        <v>11</v>
      </c>
      <c r="C80" s="119">
        <v>2</v>
      </c>
      <c r="D80" s="82">
        <v>7950</v>
      </c>
      <c r="E80" s="120">
        <f>C80*D80</f>
        <v>15900</v>
      </c>
    </row>
    <row r="81" spans="1:8" ht="15">
      <c r="A81" s="76" t="s">
        <v>10</v>
      </c>
      <c r="B81" s="85"/>
      <c r="C81" s="93"/>
      <c r="D81" s="87"/>
      <c r="E81" s="94">
        <f>SUM(E78:E80)</f>
        <v>2583189.7719999999</v>
      </c>
    </row>
    <row r="82" spans="1:8" ht="15.75" thickBot="1">
      <c r="A82" s="149" t="s">
        <v>7</v>
      </c>
      <c r="B82" s="50"/>
      <c r="C82" s="50"/>
      <c r="D82" s="50"/>
      <c r="E82" s="53">
        <f>SUM(E75,E81)</f>
        <v>3377294.6719999998</v>
      </c>
    </row>
    <row r="83" spans="1:8" ht="16.5" thickBot="1">
      <c r="A83" s="179" t="s">
        <v>72</v>
      </c>
      <c r="B83" s="180"/>
      <c r="C83" s="180"/>
      <c r="D83" s="180"/>
      <c r="E83" s="181"/>
    </row>
    <row r="84" spans="1:8" ht="15">
      <c r="A84" s="54" t="s">
        <v>4</v>
      </c>
      <c r="B84" s="55"/>
      <c r="C84" s="55"/>
      <c r="D84" s="55"/>
      <c r="E84" s="62"/>
    </row>
    <row r="85" spans="1:8" ht="44.45" customHeight="1">
      <c r="A85" s="35" t="s">
        <v>71</v>
      </c>
      <c r="B85" s="11" t="s">
        <v>8</v>
      </c>
      <c r="C85" s="118">
        <f>158.1+(1.1*4*17)</f>
        <v>232.9</v>
      </c>
      <c r="D85" s="25">
        <v>950</v>
      </c>
      <c r="E85" s="45">
        <f>C85*D85</f>
        <v>221255</v>
      </c>
      <c r="F85" s="1"/>
      <c r="G85" s="1"/>
      <c r="H85" s="1"/>
    </row>
    <row r="86" spans="1:8" ht="15">
      <c r="A86" s="36" t="s">
        <v>6</v>
      </c>
      <c r="B86" s="15"/>
      <c r="C86" s="26"/>
      <c r="D86" s="28"/>
      <c r="E86" s="47">
        <f>SUM(E85:E85)</f>
        <v>221255</v>
      </c>
      <c r="F86" s="1"/>
      <c r="G86" s="1"/>
      <c r="H86" s="1"/>
    </row>
    <row r="87" spans="1:8" ht="15">
      <c r="A87" s="84" t="s">
        <v>9</v>
      </c>
      <c r="B87" s="80"/>
      <c r="C87" s="91"/>
      <c r="D87" s="95"/>
      <c r="E87" s="92"/>
      <c r="F87" s="1"/>
      <c r="G87" s="1"/>
      <c r="H87" s="1"/>
    </row>
    <row r="88" spans="1:8" ht="15">
      <c r="A88" s="112" t="s">
        <v>82</v>
      </c>
      <c r="B88" s="80" t="s">
        <v>5</v>
      </c>
      <c r="C88" s="91">
        <f>((42.15*1.1*2)+(36*2*2)+(1.1*0.6*17))*1.15</f>
        <v>285.14249999999998</v>
      </c>
      <c r="D88" s="95">
        <f>D78</f>
        <v>1167</v>
      </c>
      <c r="E88" s="120">
        <f>C88*D88</f>
        <v>332761.29749999999</v>
      </c>
      <c r="F88" s="1"/>
      <c r="G88" s="1"/>
      <c r="H88" s="1"/>
    </row>
    <row r="89" spans="1:8" ht="30">
      <c r="A89" s="112" t="s">
        <v>43</v>
      </c>
      <c r="B89" s="80" t="s">
        <v>5</v>
      </c>
      <c r="C89" s="91">
        <v>8</v>
      </c>
      <c r="D89" s="95">
        <v>1100</v>
      </c>
      <c r="E89" s="120">
        <f>C89*D89</f>
        <v>8800</v>
      </c>
      <c r="F89" s="1"/>
      <c r="G89" s="1"/>
      <c r="H89" s="1"/>
    </row>
    <row r="90" spans="1:8" ht="15">
      <c r="A90" s="76" t="s">
        <v>10</v>
      </c>
      <c r="B90" s="85"/>
      <c r="C90" s="93"/>
      <c r="D90" s="96"/>
      <c r="E90" s="94">
        <f>SUM(E88:E89)</f>
        <v>341561.29749999999</v>
      </c>
      <c r="F90" s="1"/>
      <c r="G90" s="1"/>
      <c r="H90" s="1"/>
    </row>
    <row r="91" spans="1:8" ht="15.75" thickBot="1">
      <c r="A91" s="56" t="s">
        <v>7</v>
      </c>
      <c r="B91" s="57"/>
      <c r="C91" s="63"/>
      <c r="D91" s="64"/>
      <c r="E91" s="61">
        <f>SUM(E86,E90)</f>
        <v>562816.29749999999</v>
      </c>
      <c r="F91" s="1"/>
      <c r="G91" s="1"/>
      <c r="H91" s="1"/>
    </row>
    <row r="92" spans="1:8" ht="16.5" thickBot="1">
      <c r="A92" s="179" t="s">
        <v>61</v>
      </c>
      <c r="B92" s="180"/>
      <c r="C92" s="180"/>
      <c r="D92" s="180"/>
      <c r="E92" s="181"/>
      <c r="F92" s="1"/>
      <c r="G92" s="1"/>
      <c r="H92" s="1"/>
    </row>
    <row r="93" spans="1:8" ht="15">
      <c r="A93" s="54" t="s">
        <v>4</v>
      </c>
      <c r="B93" s="55"/>
      <c r="C93" s="59"/>
      <c r="D93" s="65"/>
      <c r="E93" s="60"/>
      <c r="F93" s="1"/>
      <c r="G93" s="1"/>
      <c r="H93" s="1"/>
    </row>
    <row r="94" spans="1:8" ht="15">
      <c r="A94" s="35" t="s">
        <v>18</v>
      </c>
      <c r="B94" s="11" t="s">
        <v>8</v>
      </c>
      <c r="C94" s="118">
        <f>(42.1+42.1+(36*2*3))+(1.1*4*17)</f>
        <v>375</v>
      </c>
      <c r="D94" s="25">
        <v>150</v>
      </c>
      <c r="E94" s="45">
        <f>C94*D94</f>
        <v>56250</v>
      </c>
      <c r="F94" s="1"/>
      <c r="G94" s="1"/>
      <c r="H94" s="1"/>
    </row>
    <row r="95" spans="1:8" ht="15.75">
      <c r="A95" s="36" t="s">
        <v>6</v>
      </c>
      <c r="B95" s="15"/>
      <c r="C95" s="26"/>
      <c r="D95" s="28"/>
      <c r="E95" s="46">
        <f>SUM(E94)</f>
        <v>56250</v>
      </c>
      <c r="F95" s="1"/>
      <c r="G95" s="1"/>
      <c r="H95" s="1"/>
    </row>
    <row r="96" spans="1:8" ht="15.75">
      <c r="A96" s="84" t="s">
        <v>9</v>
      </c>
      <c r="B96" s="80"/>
      <c r="C96" s="91"/>
      <c r="D96" s="95"/>
      <c r="E96" s="97"/>
      <c r="F96" s="1"/>
      <c r="G96" s="1"/>
      <c r="H96" s="1"/>
    </row>
    <row r="97" spans="1:8" ht="15">
      <c r="A97" s="112" t="s">
        <v>44</v>
      </c>
      <c r="B97" s="80" t="s">
        <v>8</v>
      </c>
      <c r="C97" s="119">
        <f>(42.1+42.1+(36*2*3))+(1.1*4*17)</f>
        <v>375</v>
      </c>
      <c r="D97" s="95">
        <v>107</v>
      </c>
      <c r="E97" s="120">
        <f>C97*D97</f>
        <v>40125</v>
      </c>
      <c r="F97" s="1"/>
      <c r="G97" s="1"/>
      <c r="H97" s="1"/>
    </row>
    <row r="98" spans="1:8" ht="15">
      <c r="A98" s="112" t="s">
        <v>45</v>
      </c>
      <c r="B98" s="80" t="s">
        <v>8</v>
      </c>
      <c r="C98" s="119">
        <f>(1.1*4*17)</f>
        <v>74.800000000000011</v>
      </c>
      <c r="D98" s="95">
        <v>112</v>
      </c>
      <c r="E98" s="120">
        <f>C98*D98</f>
        <v>8377.6000000000022</v>
      </c>
      <c r="F98" s="1"/>
      <c r="G98" s="1"/>
      <c r="H98" s="1"/>
    </row>
    <row r="99" spans="1:8" ht="15">
      <c r="A99" s="112" t="s">
        <v>46</v>
      </c>
      <c r="B99" s="80" t="s">
        <v>11</v>
      </c>
      <c r="C99" s="119">
        <v>19</v>
      </c>
      <c r="D99" s="95">
        <v>520</v>
      </c>
      <c r="E99" s="120">
        <f>C99*D99</f>
        <v>9880</v>
      </c>
      <c r="F99" s="1"/>
      <c r="G99" s="1"/>
      <c r="H99" s="1"/>
    </row>
    <row r="100" spans="1:8" ht="15">
      <c r="A100" s="121" t="s">
        <v>68</v>
      </c>
      <c r="B100" s="78" t="s">
        <v>11</v>
      </c>
      <c r="C100" s="108">
        <v>2250</v>
      </c>
      <c r="D100" s="107">
        <f>D33</f>
        <v>2</v>
      </c>
      <c r="E100" s="122">
        <f>C100*D100</f>
        <v>4500</v>
      </c>
      <c r="F100" s="1"/>
      <c r="G100" s="1"/>
      <c r="H100" s="1"/>
    </row>
    <row r="101" spans="1:8" ht="15.75">
      <c r="A101" s="76" t="s">
        <v>10</v>
      </c>
      <c r="B101" s="85"/>
      <c r="C101" s="93"/>
      <c r="D101" s="96"/>
      <c r="E101" s="98">
        <f>SUM(E97:E100)</f>
        <v>62882.600000000006</v>
      </c>
      <c r="F101" s="1"/>
      <c r="G101" s="1"/>
      <c r="H101" s="1"/>
    </row>
    <row r="102" spans="1:8" ht="15.75" thickBot="1">
      <c r="A102" s="56" t="s">
        <v>7</v>
      </c>
      <c r="B102" s="66"/>
      <c r="C102" s="67"/>
      <c r="D102" s="68"/>
      <c r="E102" s="61">
        <f>SUM(E95,E101)</f>
        <v>119132.6</v>
      </c>
      <c r="F102" s="1"/>
      <c r="G102" s="1"/>
    </row>
    <row r="103" spans="1:8" ht="16.5" thickBot="1">
      <c r="A103" s="202" t="s">
        <v>32</v>
      </c>
      <c r="B103" s="203"/>
      <c r="C103" s="203"/>
      <c r="D103" s="203"/>
      <c r="E103" s="204"/>
      <c r="F103" s="1"/>
      <c r="G103" s="1"/>
    </row>
    <row r="104" spans="1:8" ht="15">
      <c r="A104" s="58" t="s">
        <v>4</v>
      </c>
      <c r="B104" s="69"/>
      <c r="C104" s="70"/>
      <c r="D104" s="71"/>
      <c r="E104" s="72"/>
      <c r="F104" s="1"/>
      <c r="G104" s="1"/>
    </row>
    <row r="105" spans="1:8" ht="15">
      <c r="A105" s="44" t="s">
        <v>32</v>
      </c>
      <c r="B105" s="22" t="s">
        <v>11</v>
      </c>
      <c r="C105" s="118">
        <v>26</v>
      </c>
      <c r="D105" s="29">
        <v>4000</v>
      </c>
      <c r="E105" s="48">
        <f>C105*D105</f>
        <v>104000</v>
      </c>
      <c r="F105" s="1"/>
      <c r="G105" s="1"/>
    </row>
    <row r="106" spans="1:8" ht="15">
      <c r="A106" s="36" t="s">
        <v>6</v>
      </c>
      <c r="B106" s="30"/>
      <c r="C106" s="31"/>
      <c r="D106" s="27"/>
      <c r="E106" s="47">
        <f>SUM(E105)</f>
        <v>104000</v>
      </c>
      <c r="F106" s="1"/>
      <c r="G106" s="1"/>
    </row>
    <row r="107" spans="1:8" ht="15">
      <c r="A107" s="84" t="s">
        <v>9</v>
      </c>
      <c r="B107" s="102"/>
      <c r="C107" s="103"/>
      <c r="D107" s="104"/>
      <c r="E107" s="92"/>
      <c r="F107" s="1"/>
      <c r="G107" s="1"/>
    </row>
    <row r="108" spans="1:8" ht="15">
      <c r="A108" s="112" t="s">
        <v>82</v>
      </c>
      <c r="B108" s="80" t="s">
        <v>5</v>
      </c>
      <c r="C108" s="119">
        <f>(4.16*6*1.15)+(1.92*20*1.15)</f>
        <v>72.86399999999999</v>
      </c>
      <c r="D108" s="95">
        <f>D88</f>
        <v>1167</v>
      </c>
      <c r="E108" s="120">
        <f>C108*D108</f>
        <v>85032.287999999986</v>
      </c>
      <c r="F108" s="1"/>
      <c r="G108" s="1"/>
    </row>
    <row r="109" spans="1:8" ht="30">
      <c r="A109" s="112" t="s">
        <v>43</v>
      </c>
      <c r="B109" s="80" t="s">
        <v>5</v>
      </c>
      <c r="C109" s="119">
        <v>10</v>
      </c>
      <c r="D109" s="95">
        <v>1100</v>
      </c>
      <c r="E109" s="120">
        <f>C109*D109</f>
        <v>11000</v>
      </c>
      <c r="F109" s="1"/>
      <c r="G109" s="1"/>
    </row>
    <row r="110" spans="1:8" ht="15">
      <c r="A110" s="112" t="s">
        <v>44</v>
      </c>
      <c r="B110" s="80" t="s">
        <v>8</v>
      </c>
      <c r="C110" s="119">
        <f>(3.4*6)+(2.2*20)</f>
        <v>64.400000000000006</v>
      </c>
      <c r="D110" s="95">
        <f>D97</f>
        <v>107</v>
      </c>
      <c r="E110" s="120">
        <f>C110*D110</f>
        <v>6890.8</v>
      </c>
      <c r="F110" s="1"/>
      <c r="G110" s="1"/>
    </row>
    <row r="111" spans="1:8" ht="15">
      <c r="A111" s="112" t="s">
        <v>68</v>
      </c>
      <c r="B111" s="80" t="s">
        <v>11</v>
      </c>
      <c r="C111" s="119">
        <v>322</v>
      </c>
      <c r="D111" s="95">
        <f>D100</f>
        <v>2</v>
      </c>
      <c r="E111" s="120">
        <f>C111*D111</f>
        <v>644</v>
      </c>
      <c r="F111" s="1"/>
      <c r="G111" s="1"/>
    </row>
    <row r="112" spans="1:8" ht="15">
      <c r="A112" s="76" t="s">
        <v>10</v>
      </c>
      <c r="B112" s="99"/>
      <c r="C112" s="100"/>
      <c r="D112" s="101"/>
      <c r="E112" s="94">
        <f>SUM(E108:E111)</f>
        <v>103567.08799999999</v>
      </c>
      <c r="F112" s="1"/>
      <c r="G112" s="1"/>
    </row>
    <row r="113" spans="1:7" ht="15.75" thickBot="1">
      <c r="A113" s="73" t="s">
        <v>7</v>
      </c>
      <c r="B113" s="66"/>
      <c r="C113" s="67"/>
      <c r="D113" s="68"/>
      <c r="E113" s="61">
        <f>E106+E112</f>
        <v>207567.08799999999</v>
      </c>
      <c r="F113" s="1"/>
      <c r="G113" s="1"/>
    </row>
    <row r="114" spans="1:7" ht="16.5" thickBot="1">
      <c r="A114" s="179" t="s">
        <v>33</v>
      </c>
      <c r="B114" s="180"/>
      <c r="C114" s="180"/>
      <c r="D114" s="180"/>
      <c r="E114" s="181"/>
      <c r="F114" s="1"/>
      <c r="G114" s="1"/>
    </row>
    <row r="115" spans="1:7" ht="15">
      <c r="A115" s="54" t="s">
        <v>4</v>
      </c>
      <c r="B115" s="55"/>
      <c r="C115" s="55"/>
      <c r="D115" s="55"/>
      <c r="E115" s="62"/>
      <c r="F115" s="1"/>
      <c r="G115" s="1"/>
    </row>
    <row r="116" spans="1:7" ht="15">
      <c r="A116" s="35" t="s">
        <v>33</v>
      </c>
      <c r="B116" s="11" t="s">
        <v>11</v>
      </c>
      <c r="C116" s="118">
        <v>0</v>
      </c>
      <c r="D116" s="25">
        <v>2000</v>
      </c>
      <c r="E116" s="45">
        <f>C116*D116</f>
        <v>0</v>
      </c>
      <c r="F116" s="1"/>
      <c r="G116" s="1"/>
    </row>
    <row r="117" spans="1:7" ht="15">
      <c r="A117" s="36" t="s">
        <v>6</v>
      </c>
      <c r="B117" s="30"/>
      <c r="C117" s="31"/>
      <c r="D117" s="27"/>
      <c r="E117" s="47">
        <f>SUM(E116:E116)</f>
        <v>0</v>
      </c>
      <c r="F117" s="1"/>
      <c r="G117" s="1"/>
    </row>
    <row r="118" spans="1:7" ht="15">
      <c r="A118" s="84" t="s">
        <v>9</v>
      </c>
      <c r="B118" s="102"/>
      <c r="C118" s="103"/>
      <c r="D118" s="104"/>
      <c r="E118" s="92"/>
      <c r="F118" s="1"/>
      <c r="G118" s="1"/>
    </row>
    <row r="119" spans="1:7" ht="30">
      <c r="A119" s="112" t="s">
        <v>43</v>
      </c>
      <c r="B119" s="80" t="s">
        <v>5</v>
      </c>
      <c r="C119" s="119">
        <v>0</v>
      </c>
      <c r="D119" s="95">
        <v>1100</v>
      </c>
      <c r="E119" s="120">
        <f>C119*D119</f>
        <v>0</v>
      </c>
      <c r="F119" s="1"/>
      <c r="G119" s="1"/>
    </row>
    <row r="120" spans="1:7" ht="15">
      <c r="A120" s="112" t="s">
        <v>47</v>
      </c>
      <c r="B120" s="80" t="s">
        <v>11</v>
      </c>
      <c r="C120" s="119">
        <v>0</v>
      </c>
      <c r="D120" s="95">
        <v>400</v>
      </c>
      <c r="E120" s="120">
        <f>C120*D120</f>
        <v>0</v>
      </c>
      <c r="F120" s="1"/>
      <c r="G120" s="1"/>
    </row>
    <row r="121" spans="1:7" ht="15">
      <c r="A121" s="112" t="s">
        <v>46</v>
      </c>
      <c r="B121" s="80" t="s">
        <v>11</v>
      </c>
      <c r="C121" s="119">
        <v>0</v>
      </c>
      <c r="D121" s="95">
        <f>D99</f>
        <v>520</v>
      </c>
      <c r="E121" s="120">
        <f>C121*D121</f>
        <v>0</v>
      </c>
      <c r="F121" s="1"/>
      <c r="G121" s="1"/>
    </row>
    <row r="122" spans="1:7" ht="15">
      <c r="A122" s="76" t="s">
        <v>10</v>
      </c>
      <c r="B122" s="99"/>
      <c r="C122" s="100"/>
      <c r="D122" s="101"/>
      <c r="E122" s="94">
        <f>SUM(E119:E121)</f>
        <v>0</v>
      </c>
      <c r="F122" s="1"/>
      <c r="G122" s="1"/>
    </row>
    <row r="123" spans="1:7" ht="15.75" thickBot="1">
      <c r="A123" s="49" t="s">
        <v>7</v>
      </c>
      <c r="B123" s="50"/>
      <c r="C123" s="51"/>
      <c r="D123" s="52"/>
      <c r="E123" s="53">
        <f>E117+E122</f>
        <v>0</v>
      </c>
      <c r="F123" s="1"/>
      <c r="G123" s="1"/>
    </row>
    <row r="124" spans="1:7" ht="16.5" thickBot="1">
      <c r="A124" s="179" t="s">
        <v>22</v>
      </c>
      <c r="B124" s="180"/>
      <c r="C124" s="180"/>
      <c r="D124" s="180"/>
      <c r="E124" s="181"/>
    </row>
    <row r="125" spans="1:7" ht="15">
      <c r="A125" s="54" t="s">
        <v>4</v>
      </c>
      <c r="B125" s="55"/>
      <c r="C125" s="55"/>
      <c r="D125" s="55"/>
      <c r="E125" s="62"/>
    </row>
    <row r="126" spans="1:7" ht="15">
      <c r="A126" s="35" t="s">
        <v>48</v>
      </c>
      <c r="B126" s="11" t="s">
        <v>11</v>
      </c>
      <c r="C126" s="32">
        <v>9</v>
      </c>
      <c r="D126" s="25">
        <v>800</v>
      </c>
      <c r="E126" s="45">
        <f>C126*D126</f>
        <v>7200</v>
      </c>
    </row>
    <row r="127" spans="1:7" ht="15">
      <c r="A127" s="35" t="s">
        <v>49</v>
      </c>
      <c r="B127" s="11" t="s">
        <v>11</v>
      </c>
      <c r="C127" s="118">
        <v>9</v>
      </c>
      <c r="D127" s="25">
        <v>2000</v>
      </c>
      <c r="E127" s="45">
        <f t="shared" ref="E127:E129" si="2">C127*D127</f>
        <v>18000</v>
      </c>
    </row>
    <row r="128" spans="1:7" ht="15">
      <c r="A128" s="35" t="s">
        <v>73</v>
      </c>
      <c r="B128" s="11" t="s">
        <v>11</v>
      </c>
      <c r="C128" s="118">
        <v>9</v>
      </c>
      <c r="D128" s="25">
        <v>2000</v>
      </c>
      <c r="E128" s="45">
        <f t="shared" si="2"/>
        <v>18000</v>
      </c>
    </row>
    <row r="129" spans="1:5" ht="15">
      <c r="A129" s="35" t="s">
        <v>74</v>
      </c>
      <c r="B129" s="11" t="s">
        <v>11</v>
      </c>
      <c r="C129" s="118">
        <v>4</v>
      </c>
      <c r="D129" s="25">
        <v>2000</v>
      </c>
      <c r="E129" s="45">
        <f t="shared" si="2"/>
        <v>8000</v>
      </c>
    </row>
    <row r="130" spans="1:5" ht="15">
      <c r="A130" s="36" t="s">
        <v>6</v>
      </c>
      <c r="B130" s="30"/>
      <c r="C130" s="31"/>
      <c r="D130" s="27"/>
      <c r="E130" s="47">
        <f>SUM(E126:E129)</f>
        <v>51200</v>
      </c>
    </row>
    <row r="131" spans="1:5" ht="15">
      <c r="A131" s="84" t="s">
        <v>9</v>
      </c>
      <c r="B131" s="102"/>
      <c r="C131" s="103"/>
      <c r="D131" s="104"/>
      <c r="E131" s="92"/>
    </row>
    <row r="132" spans="1:5" ht="15">
      <c r="A132" s="112" t="s">
        <v>50</v>
      </c>
      <c r="B132" s="80" t="s">
        <v>11</v>
      </c>
      <c r="C132" s="119">
        <v>9</v>
      </c>
      <c r="D132" s="95">
        <v>1400</v>
      </c>
      <c r="E132" s="120">
        <f>C132*D132</f>
        <v>12600</v>
      </c>
    </row>
    <row r="133" spans="1:5" ht="15">
      <c r="A133" s="112" t="s">
        <v>51</v>
      </c>
      <c r="B133" s="80" t="s">
        <v>11</v>
      </c>
      <c r="C133" s="119">
        <v>9</v>
      </c>
      <c r="D133" s="95">
        <v>6850</v>
      </c>
      <c r="E133" s="120">
        <f>C133*D133</f>
        <v>61650</v>
      </c>
    </row>
    <row r="134" spans="1:5" ht="15">
      <c r="A134" s="112" t="s">
        <v>75</v>
      </c>
      <c r="B134" s="80" t="s">
        <v>11</v>
      </c>
      <c r="C134" s="119">
        <v>4</v>
      </c>
      <c r="D134" s="95">
        <v>7000</v>
      </c>
      <c r="E134" s="120">
        <f>C134*D134</f>
        <v>28000</v>
      </c>
    </row>
    <row r="135" spans="1:5" ht="15">
      <c r="A135" s="112" t="s">
        <v>46</v>
      </c>
      <c r="B135" s="80" t="s">
        <v>11</v>
      </c>
      <c r="C135" s="119">
        <v>2</v>
      </c>
      <c r="D135" s="95">
        <f>D121</f>
        <v>520</v>
      </c>
      <c r="E135" s="120">
        <f>C135*D135</f>
        <v>1040</v>
      </c>
    </row>
    <row r="136" spans="1:5" ht="15">
      <c r="A136" s="76" t="s">
        <v>10</v>
      </c>
      <c r="B136" s="99"/>
      <c r="C136" s="100"/>
      <c r="D136" s="101"/>
      <c r="E136" s="94">
        <f>SUM(E132:E135)</f>
        <v>103290</v>
      </c>
    </row>
    <row r="137" spans="1:5" ht="15.75" thickBot="1">
      <c r="A137" s="49" t="s">
        <v>7</v>
      </c>
      <c r="B137" s="50"/>
      <c r="C137" s="51"/>
      <c r="D137" s="52"/>
      <c r="E137" s="53">
        <f>E130+E136</f>
        <v>154490</v>
      </c>
    </row>
    <row r="138" spans="1:5" ht="42.6" customHeight="1" thickBot="1">
      <c r="A138" s="211" t="s">
        <v>52</v>
      </c>
      <c r="B138" s="212"/>
      <c r="C138" s="212"/>
      <c r="D138" s="213"/>
      <c r="E138" s="128">
        <f>SUM(E32:E33,E41:E42,E50:E58,E67:E68,E78:E80,E88:E89,E97:E100,E108:E111,E119:E121,E132:E135)</f>
        <v>6735653.9254999999</v>
      </c>
    </row>
    <row r="139" spans="1:5" ht="22.5" customHeight="1" thickBot="1">
      <c r="A139" s="205" t="s">
        <v>24</v>
      </c>
      <c r="B139" s="206"/>
      <c r="C139" s="206"/>
      <c r="D139" s="207"/>
      <c r="E139" s="74">
        <f>SUM(E21:E24,E29,E38,E47,E63:E64,E73:E74,E85,E94,E105,E116,E126:E129)</f>
        <v>3311100.4433999998</v>
      </c>
    </row>
    <row r="140" spans="1:5" ht="22.5" customHeight="1" thickBot="1">
      <c r="A140" s="191" t="s">
        <v>53</v>
      </c>
      <c r="B140" s="192"/>
      <c r="C140" s="192"/>
      <c r="D140" s="192"/>
      <c r="E140" s="193"/>
    </row>
    <row r="141" spans="1:5" ht="22.5" customHeight="1">
      <c r="A141" s="165" t="s">
        <v>54</v>
      </c>
      <c r="B141" s="166" t="s">
        <v>19</v>
      </c>
      <c r="C141" s="167">
        <v>1</v>
      </c>
      <c r="D141" s="168">
        <f>150000+(10000*5)+(200000)+(100000)+(13000*20)</f>
        <v>760000</v>
      </c>
      <c r="E141" s="169">
        <f>C141*D141</f>
        <v>760000</v>
      </c>
    </row>
    <row r="142" spans="1:5" ht="24.6" customHeight="1">
      <c r="A142" s="170" t="s">
        <v>23</v>
      </c>
      <c r="B142" s="162" t="s">
        <v>19</v>
      </c>
      <c r="C142" s="163">
        <v>1</v>
      </c>
      <c r="D142" s="164">
        <f>(25000*15)+(5000*20)+(3500*10)</f>
        <v>510000</v>
      </c>
      <c r="E142" s="171">
        <f>C142*D142</f>
        <v>510000</v>
      </c>
    </row>
    <row r="143" spans="1:5" ht="24.6" customHeight="1" thickBot="1">
      <c r="A143" s="172" t="s">
        <v>83</v>
      </c>
      <c r="B143" s="173" t="s">
        <v>59</v>
      </c>
      <c r="C143" s="174">
        <v>388.75</v>
      </c>
      <c r="D143" s="175">
        <v>650</v>
      </c>
      <c r="E143" s="176">
        <f>C143*D143</f>
        <v>252687.5</v>
      </c>
    </row>
    <row r="144" spans="1:5" ht="39.950000000000003" customHeight="1" thickBot="1">
      <c r="A144" s="194" t="s">
        <v>55</v>
      </c>
      <c r="B144" s="195"/>
      <c r="C144" s="195"/>
      <c r="D144" s="196"/>
      <c r="E144" s="161">
        <f>SUM(E141:E143)</f>
        <v>1522687.5</v>
      </c>
    </row>
    <row r="145" spans="1:5" ht="26.1" customHeight="1" thickBot="1">
      <c r="A145" s="197" t="s">
        <v>12</v>
      </c>
      <c r="B145" s="198"/>
      <c r="C145" s="198"/>
      <c r="D145" s="199"/>
      <c r="E145" s="129">
        <f>E138+E139+E144</f>
        <v>11569441.868899999</v>
      </c>
    </row>
  </sheetData>
  <mergeCells count="31">
    <mergeCell ref="A140:E140"/>
    <mergeCell ref="A144:D144"/>
    <mergeCell ref="A145:D145"/>
    <mergeCell ref="A124:E124"/>
    <mergeCell ref="D6:E6"/>
    <mergeCell ref="D7:E7"/>
    <mergeCell ref="A10:E10"/>
    <mergeCell ref="A11:E11"/>
    <mergeCell ref="A92:E92"/>
    <mergeCell ref="A19:E19"/>
    <mergeCell ref="A45:E45"/>
    <mergeCell ref="A103:E103"/>
    <mergeCell ref="A139:D139"/>
    <mergeCell ref="A27:E27"/>
    <mergeCell ref="A114:E114"/>
    <mergeCell ref="A138:D138"/>
    <mergeCell ref="A1:E1"/>
    <mergeCell ref="D3:E3"/>
    <mergeCell ref="D4:E4"/>
    <mergeCell ref="A36:E36"/>
    <mergeCell ref="A83:E83"/>
    <mergeCell ref="A71:E71"/>
    <mergeCell ref="A61:E61"/>
    <mergeCell ref="A16:E17"/>
    <mergeCell ref="A15:E15"/>
    <mergeCell ref="A14:E14"/>
    <mergeCell ref="D5:E5"/>
    <mergeCell ref="A4:B4"/>
    <mergeCell ref="A5:B5"/>
    <mergeCell ref="A6:B6"/>
    <mergeCell ref="A7:B7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KRD KRD</dc:creator>
  <cp:lastModifiedBy>Пользователь</cp:lastModifiedBy>
  <cp:revision/>
  <cp:lastPrinted>2024-08-16T10:39:02Z</cp:lastPrinted>
  <dcterms:created xsi:type="dcterms:W3CDTF">2024-03-16T18:53:19Z</dcterms:created>
  <dcterms:modified xsi:type="dcterms:W3CDTF">2026-03-06T14:52:44Z</dcterms:modified>
</cp:coreProperties>
</file>