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Моя папка\Личка1\!!!Объекты\08. РЦ Магнит. Казань\"/>
    </mc:Choice>
  </mc:AlternateContent>
  <xr:revisionPtr revIDLastSave="0" documentId="13_ncr:1_{CFA24C56-D15A-4800-A2F5-C1D7EC48334F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СР (материалы ТН)" sheetId="1" r:id="rId1"/>
    <sheet name="СР (материалы Фахман)" sheetId="7" r:id="rId2"/>
    <sheet name="Ведомость материалов" sheetId="8" r:id="rId3"/>
  </sheets>
  <definedNames>
    <definedName name="_xlnm.Print_Area" localSheetId="0">'СР (материалы ТН)'!$A$1:$E$212</definedName>
    <definedName name="_xlnm.Print_Area" localSheetId="1">'СР (материалы Фахман)'!$A$1:$E$212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4" i="7" l="1"/>
  <c r="E203" i="7"/>
  <c r="E201" i="7"/>
  <c r="E195" i="7"/>
  <c r="G19" i="8"/>
  <c r="G2" i="8"/>
  <c r="F2" i="8"/>
  <c r="C7" i="8"/>
  <c r="C17" i="8"/>
  <c r="C16" i="8"/>
  <c r="C15" i="8"/>
  <c r="C14" i="8"/>
  <c r="C13" i="8"/>
  <c r="C12" i="8"/>
  <c r="C11" i="8"/>
  <c r="C10" i="8"/>
  <c r="E10" i="8" s="1"/>
  <c r="C9" i="8"/>
  <c r="C8" i="8"/>
  <c r="C6" i="8"/>
  <c r="C5" i="8"/>
  <c r="G5" i="8" s="1"/>
  <c r="C4" i="8"/>
  <c r="C3" i="8"/>
  <c r="C2" i="8"/>
  <c r="D83" i="7"/>
  <c r="D119" i="7"/>
  <c r="D118" i="7"/>
  <c r="D117" i="7"/>
  <c r="D84" i="7"/>
  <c r="D55" i="7"/>
  <c r="D42" i="1"/>
  <c r="D42" i="7"/>
  <c r="G17" i="8"/>
  <c r="E17" i="8"/>
  <c r="G16" i="8"/>
  <c r="E16" i="8"/>
  <c r="G15" i="8"/>
  <c r="G14" i="8"/>
  <c r="E14" i="8"/>
  <c r="G13" i="8"/>
  <c r="E13" i="8"/>
  <c r="G12" i="8"/>
  <c r="E12" i="8"/>
  <c r="G11" i="8"/>
  <c r="E11" i="8"/>
  <c r="F10" i="8"/>
  <c r="F9" i="8"/>
  <c r="G9" i="8"/>
  <c r="G8" i="8"/>
  <c r="E8" i="8"/>
  <c r="F7" i="8"/>
  <c r="G7" i="8" s="1"/>
  <c r="E7" i="8"/>
  <c r="G6" i="8"/>
  <c r="E6" i="8"/>
  <c r="G4" i="8"/>
  <c r="E4" i="8"/>
  <c r="G3" i="8"/>
  <c r="E3" i="8"/>
  <c r="E2" i="8"/>
  <c r="G10" i="8" l="1"/>
  <c r="E5" i="8"/>
  <c r="E9" i="8"/>
  <c r="E15" i="8"/>
  <c r="E19" i="8" l="1"/>
  <c r="E26" i="8" s="1"/>
  <c r="D191" i="7"/>
  <c r="C191" i="7"/>
  <c r="D190" i="7"/>
  <c r="C190" i="7"/>
  <c r="D185" i="7"/>
  <c r="C185" i="7"/>
  <c r="D180" i="7"/>
  <c r="C180" i="7"/>
  <c r="D179" i="7"/>
  <c r="C179" i="7"/>
  <c r="D174" i="7"/>
  <c r="C174" i="7"/>
  <c r="D169" i="7"/>
  <c r="C169" i="7"/>
  <c r="D164" i="7"/>
  <c r="C164" i="7"/>
  <c r="D159" i="7"/>
  <c r="E159" i="7" s="1"/>
  <c r="E160" i="7" s="1"/>
  <c r="E161" i="7" s="1"/>
  <c r="C159" i="7"/>
  <c r="D154" i="7"/>
  <c r="C154" i="7"/>
  <c r="D149" i="7"/>
  <c r="C149" i="7"/>
  <c r="D144" i="7"/>
  <c r="C144" i="7"/>
  <c r="D139" i="7"/>
  <c r="C139" i="7"/>
  <c r="D134" i="7"/>
  <c r="C134" i="7"/>
  <c r="D129" i="7"/>
  <c r="C129" i="7"/>
  <c r="D124" i="7"/>
  <c r="C124" i="7"/>
  <c r="C119" i="7"/>
  <c r="C118" i="7"/>
  <c r="C117" i="7"/>
  <c r="C116" i="7"/>
  <c r="D115" i="7"/>
  <c r="C115" i="7"/>
  <c r="D114" i="7"/>
  <c r="C114" i="7"/>
  <c r="D113" i="7"/>
  <c r="C113" i="7"/>
  <c r="E113" i="7" s="1"/>
  <c r="D110" i="7"/>
  <c r="C110" i="7"/>
  <c r="C105" i="7"/>
  <c r="C104" i="7"/>
  <c r="C103" i="7"/>
  <c r="C102" i="7"/>
  <c r="D99" i="7"/>
  <c r="C99" i="7"/>
  <c r="D94" i="7"/>
  <c r="C94" i="7"/>
  <c r="D93" i="7"/>
  <c r="C93" i="7"/>
  <c r="D90" i="7"/>
  <c r="C90" i="7"/>
  <c r="E93" i="7" s="1"/>
  <c r="C85" i="7"/>
  <c r="C84" i="7"/>
  <c r="C83" i="7"/>
  <c r="D82" i="7"/>
  <c r="C82" i="7"/>
  <c r="D79" i="7"/>
  <c r="C79" i="7"/>
  <c r="C74" i="7"/>
  <c r="C73" i="7"/>
  <c r="D72" i="7"/>
  <c r="C72" i="7"/>
  <c r="D69" i="7"/>
  <c r="C69" i="7"/>
  <c r="D64" i="7"/>
  <c r="C64" i="7"/>
  <c r="C59" i="7"/>
  <c r="C58" i="7"/>
  <c r="C55" i="7"/>
  <c r="D50" i="7"/>
  <c r="C50" i="7"/>
  <c r="D47" i="7"/>
  <c r="C47" i="7"/>
  <c r="C42" i="7"/>
  <c r="D41" i="7"/>
  <c r="C41" i="7"/>
  <c r="D38" i="7"/>
  <c r="C38" i="7"/>
  <c r="E42" i="7" s="1"/>
  <c r="D33" i="7"/>
  <c r="C33" i="7"/>
  <c r="C28" i="7"/>
  <c r="D27" i="7"/>
  <c r="C27" i="7"/>
  <c r="D26" i="7"/>
  <c r="C26" i="7"/>
  <c r="C25" i="7"/>
  <c r="E25" i="7" s="1"/>
  <c r="D22" i="7"/>
  <c r="E22" i="7" s="1"/>
  <c r="C22" i="7"/>
  <c r="E27" i="7" s="1"/>
  <c r="D21" i="7"/>
  <c r="C21" i="7"/>
  <c r="D20" i="7"/>
  <c r="C20" i="7"/>
  <c r="D15" i="7"/>
  <c r="C15" i="7"/>
  <c r="C9" i="7"/>
  <c r="C10" i="7"/>
  <c r="C8" i="7"/>
  <c r="E8" i="7"/>
  <c r="D9" i="7"/>
  <c r="D10" i="7"/>
  <c r="D8" i="7"/>
  <c r="E200" i="7"/>
  <c r="E199" i="7"/>
  <c r="E198" i="7"/>
  <c r="E197" i="7"/>
  <c r="E191" i="7"/>
  <c r="E190" i="7"/>
  <c r="E185" i="7"/>
  <c r="E186" i="7" s="1"/>
  <c r="E187" i="7" s="1"/>
  <c r="E180" i="7"/>
  <c r="E179" i="7"/>
  <c r="E174" i="7"/>
  <c r="E175" i="7" s="1"/>
  <c r="E176" i="7" s="1"/>
  <c r="E169" i="7"/>
  <c r="E170" i="7" s="1"/>
  <c r="E171" i="7" s="1"/>
  <c r="E164" i="7"/>
  <c r="E165" i="7" s="1"/>
  <c r="E166" i="7" s="1"/>
  <c r="E154" i="7"/>
  <c r="E155" i="7" s="1"/>
  <c r="E156" i="7" s="1"/>
  <c r="E149" i="7"/>
  <c r="E150" i="7" s="1"/>
  <c r="E151" i="7" s="1"/>
  <c r="E144" i="7"/>
  <c r="E145" i="7" s="1"/>
  <c r="E146" i="7" s="1"/>
  <c r="E139" i="7"/>
  <c r="E140" i="7" s="1"/>
  <c r="E141" i="7" s="1"/>
  <c r="E134" i="7"/>
  <c r="E135" i="7" s="1"/>
  <c r="E136" i="7" s="1"/>
  <c r="E129" i="7"/>
  <c r="E130" i="7" s="1"/>
  <c r="E131" i="7" s="1"/>
  <c r="E124" i="7"/>
  <c r="E125" i="7" s="1"/>
  <c r="E126" i="7" s="1"/>
  <c r="E116" i="7"/>
  <c r="E115" i="7"/>
  <c r="E114" i="7"/>
  <c r="E110" i="7"/>
  <c r="E111" i="7" s="1"/>
  <c r="E94" i="7"/>
  <c r="E85" i="7"/>
  <c r="G73" i="7"/>
  <c r="E64" i="7"/>
  <c r="E65" i="7" s="1"/>
  <c r="E66" i="7" s="1"/>
  <c r="E59" i="7"/>
  <c r="E50" i="7"/>
  <c r="E51" i="7" s="1"/>
  <c r="E41" i="7"/>
  <c r="E38" i="7"/>
  <c r="E39" i="7" s="1"/>
  <c r="E33" i="7"/>
  <c r="E34" i="7" s="1"/>
  <c r="E35" i="7" s="1"/>
  <c r="E26" i="7"/>
  <c r="E21" i="7"/>
  <c r="E20" i="7"/>
  <c r="E10" i="7"/>
  <c r="E194" i="1"/>
  <c r="C119" i="1"/>
  <c r="C118" i="1"/>
  <c r="C117" i="1"/>
  <c r="C116" i="1"/>
  <c r="C115" i="1"/>
  <c r="C114" i="1"/>
  <c r="C105" i="1"/>
  <c r="C104" i="1"/>
  <c r="C93" i="1"/>
  <c r="C103" i="1"/>
  <c r="C102" i="1"/>
  <c r="C99" i="1"/>
  <c r="C90" i="1"/>
  <c r="E86" i="1"/>
  <c r="E192" i="7" l="1"/>
  <c r="E193" i="7" s="1"/>
  <c r="E181" i="7"/>
  <c r="E182" i="7" s="1"/>
  <c r="E117" i="7"/>
  <c r="E118" i="7"/>
  <c r="E119" i="7"/>
  <c r="E95" i="7"/>
  <c r="E99" i="7"/>
  <c r="E100" i="7" s="1"/>
  <c r="E102" i="7"/>
  <c r="E103" i="7"/>
  <c r="E104" i="7"/>
  <c r="E43" i="7"/>
  <c r="E44" i="7" s="1"/>
  <c r="E23" i="7"/>
  <c r="E83" i="7"/>
  <c r="E69" i="7"/>
  <c r="E70" i="7" s="1"/>
  <c r="E74" i="7"/>
  <c r="E73" i="7"/>
  <c r="E72" i="7"/>
  <c r="E82" i="7"/>
  <c r="E9" i="7"/>
  <c r="E11" i="7" s="1"/>
  <c r="E47" i="7"/>
  <c r="E48" i="7" s="1"/>
  <c r="E52" i="7" s="1"/>
  <c r="E28" i="7"/>
  <c r="E29" i="7" s="1"/>
  <c r="E79" i="7"/>
  <c r="E80" i="7" s="1"/>
  <c r="E105" i="7"/>
  <c r="E90" i="7"/>
  <c r="E91" i="7" s="1"/>
  <c r="E96" i="7" s="1"/>
  <c r="C82" i="1"/>
  <c r="C79" i="1"/>
  <c r="C74" i="1"/>
  <c r="C73" i="1"/>
  <c r="G73" i="1"/>
  <c r="C72" i="1"/>
  <c r="C69" i="1"/>
  <c r="E66" i="1"/>
  <c r="C20" i="1"/>
  <c r="C47" i="1" s="1"/>
  <c r="E120" i="7" l="1"/>
  <c r="E121" i="7" s="1"/>
  <c r="E106" i="7"/>
  <c r="E107" i="7" s="1"/>
  <c r="E84" i="7"/>
  <c r="E86" i="7" s="1"/>
  <c r="E87" i="7" s="1"/>
  <c r="E30" i="7"/>
  <c r="E12" i="7"/>
  <c r="E15" i="7"/>
  <c r="E16" i="7" s="1"/>
  <c r="E17" i="7" s="1"/>
  <c r="E75" i="7"/>
  <c r="E76" i="7" s="1"/>
  <c r="C10" i="1"/>
  <c r="C15" i="1" s="1"/>
  <c r="C55" i="1" s="1"/>
  <c r="C58" i="1" s="1"/>
  <c r="C9" i="1"/>
  <c r="E9" i="1" s="1"/>
  <c r="C8" i="1"/>
  <c r="E10" i="1"/>
  <c r="E8" i="1"/>
  <c r="E58" i="7" l="1"/>
  <c r="E60" i="7" s="1"/>
  <c r="E55" i="7"/>
  <c r="E56" i="7" s="1"/>
  <c r="E11" i="1"/>
  <c r="E12" i="1" s="1"/>
  <c r="E61" i="7" l="1"/>
  <c r="E194" i="7"/>
  <c r="E110" i="1"/>
  <c r="E111" i="1" s="1"/>
  <c r="E105" i="1"/>
  <c r="E94" i="1"/>
  <c r="E90" i="1"/>
  <c r="E91" i="1" s="1"/>
  <c r="E85" i="1"/>
  <c r="E202" i="7" l="1"/>
  <c r="E59" i="1"/>
  <c r="E38" i="1"/>
  <c r="E39" i="1" s="1"/>
  <c r="E33" i="1"/>
  <c r="E34" i="1" s="1"/>
  <c r="E35" i="1" s="1"/>
  <c r="E22" i="1"/>
  <c r="E21" i="1"/>
  <c r="D119" i="1" l="1"/>
  <c r="D118" i="1"/>
  <c r="D117" i="1"/>
  <c r="E117" i="1" s="1"/>
  <c r="D115" i="1"/>
  <c r="D114" i="1"/>
  <c r="C113" i="1"/>
  <c r="E113" i="1" s="1"/>
  <c r="D93" i="1"/>
  <c r="D84" i="1"/>
  <c r="E118" i="1" l="1"/>
  <c r="E119" i="1"/>
  <c r="E116" i="1"/>
  <c r="E115" i="1"/>
  <c r="E114" i="1"/>
  <c r="E104" i="1"/>
  <c r="E93" i="1"/>
  <c r="E95" i="1" s="1"/>
  <c r="E96" i="1" s="1"/>
  <c r="C41" i="1"/>
  <c r="E41" i="1" s="1"/>
  <c r="C42" i="1"/>
  <c r="E42" i="1" s="1"/>
  <c r="C27" i="1"/>
  <c r="E27" i="1" s="1"/>
  <c r="C26" i="1"/>
  <c r="E26" i="1" s="1"/>
  <c r="E120" i="1" l="1"/>
  <c r="E121" i="1" s="1"/>
  <c r="E43" i="1"/>
  <c r="E195" i="1" s="1"/>
  <c r="E15" i="1" l="1"/>
  <c r="E16" i="1" s="1"/>
  <c r="E17" i="1" s="1"/>
  <c r="E185" i="1"/>
  <c r="E186" i="1" s="1"/>
  <c r="E187" i="1" s="1"/>
  <c r="E180" i="1"/>
  <c r="E179" i="1"/>
  <c r="E174" i="1"/>
  <c r="E175" i="1" s="1"/>
  <c r="E176" i="1" s="1"/>
  <c r="E169" i="1"/>
  <c r="E170" i="1" s="1"/>
  <c r="E171" i="1" s="1"/>
  <c r="E164" i="1"/>
  <c r="E165" i="1" s="1"/>
  <c r="E166" i="1" s="1"/>
  <c r="E159" i="1"/>
  <c r="E160" i="1" s="1"/>
  <c r="E161" i="1" s="1"/>
  <c r="E154" i="1"/>
  <c r="E155" i="1" s="1"/>
  <c r="E156" i="1" s="1"/>
  <c r="E149" i="1"/>
  <c r="E150" i="1" s="1"/>
  <c r="E151" i="1" s="1"/>
  <c r="E144" i="1"/>
  <c r="E145" i="1" s="1"/>
  <c r="E146" i="1" s="1"/>
  <c r="E134" i="1"/>
  <c r="E135" i="1" s="1"/>
  <c r="E136" i="1" s="1"/>
  <c r="E129" i="1"/>
  <c r="E130" i="1" s="1"/>
  <c r="E131" i="1" s="1"/>
  <c r="E124" i="1"/>
  <c r="E125" i="1" s="1"/>
  <c r="E126" i="1" s="1"/>
  <c r="E99" i="1"/>
  <c r="E79" i="1"/>
  <c r="E80" i="1" s="1"/>
  <c r="E72" i="1"/>
  <c r="E64" i="1"/>
  <c r="E65" i="1" s="1"/>
  <c r="E55" i="1"/>
  <c r="E56" i="1" s="1"/>
  <c r="C25" i="1" l="1"/>
  <c r="E25" i="1" s="1"/>
  <c r="E20" i="1"/>
  <c r="E23" i="1" s="1"/>
  <c r="E100" i="1"/>
  <c r="E102" i="1"/>
  <c r="C83" i="1"/>
  <c r="E83" i="1" s="1"/>
  <c r="E58" i="1"/>
  <c r="E60" i="1" s="1"/>
  <c r="E82" i="1"/>
  <c r="E74" i="1"/>
  <c r="E73" i="1"/>
  <c r="E75" i="1" s="1"/>
  <c r="C28" i="1"/>
  <c r="E28" i="1" s="1"/>
  <c r="E181" i="1"/>
  <c r="E182" i="1" s="1"/>
  <c r="E198" i="1"/>
  <c r="E199" i="1"/>
  <c r="E197" i="1"/>
  <c r="E191" i="1"/>
  <c r="E190" i="1"/>
  <c r="E139" i="1"/>
  <c r="E140" i="1" s="1"/>
  <c r="E141" i="1" s="1"/>
  <c r="E69" i="1"/>
  <c r="E70" i="1" s="1"/>
  <c r="E44" i="1"/>
  <c r="E76" i="1" l="1"/>
  <c r="E29" i="1"/>
  <c r="C50" i="1"/>
  <c r="E50" i="1" s="1"/>
  <c r="E51" i="1" s="1"/>
  <c r="E47" i="1"/>
  <c r="E48" i="1" s="1"/>
  <c r="E30" i="1"/>
  <c r="E103" i="1"/>
  <c r="E106" i="1" s="1"/>
  <c r="E107" i="1" s="1"/>
  <c r="C84" i="1"/>
  <c r="E84" i="1" s="1"/>
  <c r="E87" i="1" s="1"/>
  <c r="E61" i="1"/>
  <c r="E192" i="1"/>
  <c r="E193" i="1" s="1"/>
  <c r="E200" i="1"/>
  <c r="E52" i="1" l="1"/>
  <c r="E201" i="1"/>
  <c r="E202" i="1" l="1"/>
  <c r="E203" i="1" l="1"/>
  <c r="E204" i="1" s="1"/>
</calcChain>
</file>

<file path=xl/sharedStrings.xml><?xml version="1.0" encoding="utf-8"?>
<sst xmlns="http://schemas.openxmlformats.org/spreadsheetml/2006/main" count="638" uniqueCount="159">
  <si>
    <r>
      <rPr>
        <b/>
        <sz val="12"/>
        <rFont val="Arial"/>
        <family val="2"/>
      </rPr>
      <t>Наименование работ</t>
    </r>
  </si>
  <si>
    <r>
      <rPr>
        <b/>
        <sz val="12"/>
        <rFont val="Arial"/>
        <family val="2"/>
      </rPr>
      <t>Кол-во</t>
    </r>
  </si>
  <si>
    <r>
      <rPr>
        <b/>
        <sz val="12"/>
        <rFont val="Arial"/>
        <family val="2"/>
      </rPr>
      <t>Цена за ед. без НДС</t>
    </r>
  </si>
  <si>
    <r>
      <rPr>
        <b/>
        <sz val="12"/>
        <rFont val="Arial"/>
        <family val="2"/>
      </rPr>
      <t>Сумма без НДС</t>
    </r>
  </si>
  <si>
    <r>
      <rPr>
        <b/>
        <sz val="12"/>
        <rFont val="Arial"/>
        <family val="2"/>
      </rPr>
      <t>Монтаж профилированного настила</t>
    </r>
  </si>
  <si>
    <r>
      <rPr>
        <i/>
        <sz val="11"/>
        <rFont val="Arial"/>
        <family val="2"/>
      </rPr>
      <t>Работы:</t>
    </r>
  </si>
  <si>
    <r>
      <rPr>
        <sz val="12"/>
        <rFont val="Arial"/>
        <family val="2"/>
      </rPr>
      <t>м2</t>
    </r>
  </si>
  <si>
    <r>
      <rPr>
        <sz val="12"/>
        <rFont val="Arial"/>
        <family val="2"/>
      </rPr>
      <t>140,00 ₽</t>
    </r>
  </si>
  <si>
    <r>
      <rPr>
        <b/>
        <i/>
        <sz val="12"/>
        <rFont val="Arial"/>
        <family val="2"/>
      </rPr>
      <t>Итого за работы:</t>
    </r>
  </si>
  <si>
    <r>
      <rPr>
        <b/>
        <i/>
        <sz val="12"/>
        <rFont val="Arial"/>
        <family val="2"/>
      </rPr>
      <t>ИТОГО по Разделу:</t>
    </r>
  </si>
  <si>
    <r>
      <rPr>
        <b/>
        <sz val="12"/>
        <rFont val="Arial"/>
        <family val="2"/>
      </rPr>
      <t>Устройство L-образного профиля в местах парапета и профилей усиления в ендове и на коньках, устройство профиля усиления деф. швов</t>
    </r>
  </si>
  <si>
    <r>
      <rPr>
        <sz val="12"/>
        <rFont val="Arial"/>
        <family val="2"/>
      </rPr>
      <t>Устройство L-образного профиля и профилей усиления</t>
    </r>
  </si>
  <si>
    <r>
      <rPr>
        <sz val="12"/>
        <rFont val="Arial"/>
        <family val="2"/>
      </rPr>
      <t>м/п</t>
    </r>
  </si>
  <si>
    <r>
      <rPr>
        <sz val="12"/>
        <rFont val="Arial"/>
        <family val="2"/>
      </rPr>
      <t>20,00 ₽</t>
    </r>
  </si>
  <si>
    <r>
      <rPr>
        <sz val="12"/>
        <rFont val="Arial"/>
        <family val="2"/>
      </rPr>
      <t>Устройство профилей усиления (коньковые усиления, усиления ендов)</t>
    </r>
  </si>
  <si>
    <r>
      <rPr>
        <sz val="12"/>
        <rFont val="Arial"/>
        <family val="2"/>
      </rPr>
      <t>10,00 ₽</t>
    </r>
  </si>
  <si>
    <r>
      <rPr>
        <sz val="12"/>
        <rFont val="Arial"/>
        <family val="2"/>
      </rPr>
      <t>Устройство профилей усиления деф. шва</t>
    </r>
  </si>
  <si>
    <r>
      <rPr>
        <b/>
        <sz val="12"/>
        <rFont val="Arial"/>
        <family val="2"/>
      </rPr>
      <t>Устройство шины молниезащиты/ заземления</t>
    </r>
  </si>
  <si>
    <r>
      <rPr>
        <sz val="12"/>
        <rFont val="Arial"/>
        <family val="2"/>
      </rPr>
      <t>200,00 ₽</t>
    </r>
  </si>
  <si>
    <r>
      <rPr>
        <b/>
        <sz val="12"/>
        <rFont val="Arial"/>
        <family val="2"/>
      </rPr>
      <t>Устройство усиления мест воронок внутреннего водоотведения</t>
    </r>
  </si>
  <si>
    <r>
      <rPr>
        <sz val="12"/>
        <rFont val="Arial"/>
        <family val="2"/>
      </rPr>
      <t>Устройство усиления мест воронок внутреннего водоотведения из оц. стали толщиной 0,5 мм размером 0,6*0,6 м</t>
    </r>
  </si>
  <si>
    <r>
      <rPr>
        <sz val="12"/>
        <rFont val="Arial"/>
        <family val="2"/>
      </rPr>
      <t>шт</t>
    </r>
  </si>
  <si>
    <r>
      <rPr>
        <sz val="12"/>
        <rFont val="Arial"/>
        <family val="2"/>
      </rPr>
      <t>100,00 ₽</t>
    </r>
  </si>
  <si>
    <r>
      <rPr>
        <b/>
        <sz val="12"/>
        <rFont val="Arial"/>
        <family val="2"/>
      </rPr>
      <t>Устройство заполнения гофр профлиста НГ утеплителем на длину 250 мм</t>
    </r>
  </si>
  <si>
    <r>
      <rPr>
        <sz val="12"/>
        <rFont val="Arial"/>
        <family val="2"/>
      </rPr>
      <t>Устройство заполнения гофр профлиста НГ утеплителем на длину 250 мм</t>
    </r>
  </si>
  <si>
    <r>
      <rPr>
        <b/>
        <sz val="12"/>
        <rFont val="Arial"/>
        <family val="2"/>
      </rPr>
      <t>Устройство пароизоляционного слоя</t>
    </r>
  </si>
  <si>
    <r>
      <rPr>
        <sz val="12"/>
        <rFont val="Arial"/>
        <family val="2"/>
      </rPr>
      <t>Устройство пароизоляционного слоя из пароизоляционной пленки</t>
    </r>
  </si>
  <si>
    <r>
      <rPr>
        <sz val="12"/>
        <rFont val="Arial"/>
        <family val="2"/>
      </rPr>
      <t>40,00 ₽</t>
    </r>
  </si>
  <si>
    <r>
      <rPr>
        <sz val="12"/>
        <rFont val="Arial"/>
        <family val="2"/>
      </rPr>
      <t>Устройство контруклона из минераловатных теплоизоляционных плит 4,2 %</t>
    </r>
  </si>
  <si>
    <r>
      <rPr>
        <sz val="12"/>
        <rFont val="Arial"/>
        <family val="2"/>
      </rPr>
      <t>170,00 ₽</t>
    </r>
  </si>
  <si>
    <r>
      <rPr>
        <b/>
        <sz val="12"/>
        <rFont val="Arial"/>
        <family val="2"/>
      </rPr>
      <t>Устройство теплоизоляционного слоя из минераловатного утеплителя в два слоя с перехлестом швов</t>
    </r>
  </si>
  <si>
    <r>
      <rPr>
        <sz val="12"/>
        <rFont val="Arial"/>
        <family val="2"/>
      </rPr>
      <t>Устройство теплоизоляционного слоя из минераловатного утеплителя в два слоя с перехлестом швов с мех. креплением</t>
    </r>
  </si>
  <si>
    <r>
      <rPr>
        <sz val="12"/>
        <rFont val="Arial"/>
        <family val="2"/>
      </rPr>
      <t>165,00 ₽</t>
    </r>
  </si>
  <si>
    <r>
      <rPr>
        <b/>
        <sz val="12"/>
        <rFont val="Arial"/>
        <family val="2"/>
      </rPr>
      <t>Устройство гидроизоляционного покрытия из ПВХ-мембраны по плоскости с учетом ветровых зон</t>
    </r>
  </si>
  <si>
    <r>
      <rPr>
        <sz val="12"/>
        <rFont val="Arial"/>
        <family val="2"/>
      </rPr>
      <t>Монтаж гидроизоляционного покрытия из ПВХ мембраны, с продольным нахлестом не менее 120 мм и поперечным - не менее 200 мм</t>
    </r>
  </si>
  <si>
    <r>
      <rPr>
        <sz val="12"/>
        <rFont val="Arial"/>
        <family val="2"/>
      </rPr>
      <t>190,00 ₽</t>
    </r>
  </si>
  <si>
    <r>
      <rPr>
        <b/>
        <sz val="12"/>
        <rFont val="Arial"/>
        <family val="2"/>
      </rPr>
      <t>Устройство гидроизоляции примыканий к парапету из ПВХ-мембраны</t>
    </r>
  </si>
  <si>
    <r>
      <rPr>
        <sz val="12"/>
        <rFont val="Arial"/>
        <family val="2"/>
      </rPr>
      <t>Устройство примыкания гидроизоляционного покрытия из ПВХ- мембраны к парапету</t>
    </r>
  </si>
  <si>
    <r>
      <rPr>
        <sz val="12"/>
        <rFont val="Arial"/>
        <family val="2"/>
      </rPr>
      <t>375,00 ₽</t>
    </r>
  </si>
  <si>
    <r>
      <rPr>
        <b/>
        <sz val="12"/>
        <rFont val="Arial"/>
        <family val="2"/>
      </rPr>
      <t>Устройство прижимной и краевой алюминиевой планки</t>
    </r>
  </si>
  <si>
    <r>
      <rPr>
        <sz val="12"/>
        <rFont val="Arial"/>
        <family val="2"/>
      </rPr>
      <t>Монтаж прижимной и краевой кровельной планки</t>
    </r>
  </si>
  <si>
    <r>
      <rPr>
        <b/>
        <sz val="12"/>
        <rFont val="Arial"/>
        <family val="2"/>
      </rPr>
      <t>Устройство гидроизоляции стоек фахверка с утеплением</t>
    </r>
  </si>
  <si>
    <r>
      <rPr>
        <sz val="12"/>
        <rFont val="Arial"/>
        <family val="2"/>
      </rPr>
      <t>Устройство примыканий к стойкам фахверка с утеплением</t>
    </r>
  </si>
  <si>
    <r>
      <rPr>
        <sz val="12"/>
        <rFont val="Arial"/>
        <family val="2"/>
      </rPr>
      <t>2 920,00 ₽</t>
    </r>
  </si>
  <si>
    <r>
      <rPr>
        <b/>
        <sz val="12"/>
        <rFont val="Arial"/>
        <family val="2"/>
      </rPr>
      <t>Устройство примыкания к вытяжкам</t>
    </r>
  </si>
  <si>
    <r>
      <rPr>
        <sz val="12"/>
        <rFont val="Arial"/>
        <family val="2"/>
      </rPr>
      <t>Устройство примыкания к вытяжкам</t>
    </r>
  </si>
  <si>
    <r>
      <rPr>
        <sz val="12"/>
        <rFont val="Arial"/>
        <family val="2"/>
      </rPr>
      <t>2 080,00 ₽</t>
    </r>
  </si>
  <si>
    <r>
      <rPr>
        <b/>
        <sz val="12"/>
        <rFont val="Arial"/>
        <family val="2"/>
      </rPr>
      <t>Устройство примыканий к воздухозаборам</t>
    </r>
  </si>
  <si>
    <r>
      <rPr>
        <sz val="12"/>
        <rFont val="Arial"/>
        <family val="2"/>
      </rPr>
      <t>Устройство примыканий к воздухозаборам</t>
    </r>
  </si>
  <si>
    <r>
      <rPr>
        <b/>
        <sz val="12"/>
        <rFont val="Arial"/>
        <family val="2"/>
      </rPr>
      <t>Устройство примыканий к вентиляторам</t>
    </r>
  </si>
  <si>
    <r>
      <rPr>
        <sz val="12"/>
        <rFont val="Arial"/>
        <family val="2"/>
      </rPr>
      <t>Устройство примыканий к вентиляторам</t>
    </r>
  </si>
  <si>
    <r>
      <rPr>
        <sz val="12"/>
        <rFont val="Arial"/>
        <family val="2"/>
      </rPr>
      <t>2 916,00 ₽</t>
    </r>
  </si>
  <si>
    <r>
      <rPr>
        <b/>
        <sz val="12"/>
        <rFont val="Arial"/>
        <family val="2"/>
      </rPr>
      <t>Устройство деф. шва</t>
    </r>
  </si>
  <si>
    <r>
      <rPr>
        <sz val="12"/>
        <rFont val="Arial"/>
        <family val="2"/>
      </rPr>
      <t>Устройство деф. Шва</t>
    </r>
  </si>
  <si>
    <r>
      <rPr>
        <b/>
        <sz val="12"/>
        <rFont val="Arial"/>
        <family val="2"/>
      </rPr>
      <t>Устройство примыканий к люкам дымоудаления</t>
    </r>
  </si>
  <si>
    <r>
      <rPr>
        <sz val="12"/>
        <rFont val="Arial"/>
        <family val="2"/>
      </rPr>
      <t>Устройство примыканий к люкам дымоудаления</t>
    </r>
  </si>
  <si>
    <r>
      <rPr>
        <b/>
        <sz val="12"/>
        <rFont val="Arial"/>
        <family val="2"/>
      </rPr>
      <t>Устройство пешеходных дорожек Puzzle</t>
    </r>
  </si>
  <si>
    <r>
      <rPr>
        <sz val="12"/>
        <rFont val="Arial"/>
        <family val="2"/>
      </rPr>
      <t>Устройство пешеходных дорожек Puzzle</t>
    </r>
  </si>
  <si>
    <r>
      <rPr>
        <sz val="12"/>
        <rFont val="Arial"/>
        <family val="2"/>
      </rPr>
      <t>250,00 ₽</t>
    </r>
  </si>
  <si>
    <r>
      <rPr>
        <b/>
        <sz val="12"/>
        <rFont val="Arial"/>
        <family val="2"/>
      </rPr>
      <t>Устройство примыканий стойкам блоков кондиционеров</t>
    </r>
  </si>
  <si>
    <r>
      <rPr>
        <sz val="12"/>
        <rFont val="Arial"/>
        <family val="2"/>
      </rPr>
      <t>Устройство примыканий стойкам блоков кондиционеров</t>
    </r>
  </si>
  <si>
    <r>
      <rPr>
        <sz val="12"/>
        <rFont val="Arial"/>
        <family val="2"/>
      </rPr>
      <t>1 666,00 ₽</t>
    </r>
  </si>
  <si>
    <r>
      <rPr>
        <b/>
        <sz val="12"/>
        <rFont val="Arial"/>
        <family val="2"/>
      </rPr>
      <t>Устройство примыканий к проходкам через кровлю</t>
    </r>
  </si>
  <si>
    <r>
      <rPr>
        <sz val="12"/>
        <rFont val="Arial"/>
        <family val="2"/>
      </rPr>
      <t>Устройство примыканий к проходкам</t>
    </r>
  </si>
  <si>
    <r>
      <rPr>
        <sz val="12"/>
        <rFont val="Arial"/>
        <family val="2"/>
      </rPr>
      <t>2 083,00 ₽</t>
    </r>
  </si>
  <si>
    <r>
      <rPr>
        <b/>
        <sz val="12"/>
        <rFont val="Arial"/>
        <family val="2"/>
      </rPr>
      <t xml:space="preserve">Устройство противопожарных рассечек 2*2 м вокруг зенитных фонарей, люков дымоудаления и дефлекторов из защитного
</t>
    </r>
    <r>
      <rPr>
        <b/>
        <sz val="12"/>
        <rFont val="Arial"/>
        <family val="2"/>
      </rPr>
      <t>материала NG</t>
    </r>
  </si>
  <si>
    <r>
      <rPr>
        <sz val="12"/>
        <rFont val="Arial"/>
        <family val="2"/>
      </rPr>
      <t>Устройство противопожарных рассечек 2*2 м вокруг зенитных фонарей, люков дымоудаления и дефлекторов из защитного материала NG</t>
    </r>
  </si>
  <si>
    <r>
      <rPr>
        <sz val="12"/>
        <rFont val="Arial"/>
        <family val="2"/>
      </rPr>
      <t>333,00 ₽</t>
    </r>
  </si>
  <si>
    <r>
      <rPr>
        <b/>
        <sz val="12"/>
        <rFont val="Arial"/>
        <family val="2"/>
      </rPr>
      <t>Устройство парапетных крышек</t>
    </r>
  </si>
  <si>
    <r>
      <rPr>
        <sz val="12"/>
        <rFont val="Arial"/>
        <family val="2"/>
      </rPr>
      <t>Изготовление парапетных крышек</t>
    </r>
  </si>
  <si>
    <r>
      <rPr>
        <sz val="12"/>
        <rFont val="Arial"/>
        <family val="2"/>
      </rPr>
      <t>500,00 ₽</t>
    </r>
  </si>
  <si>
    <r>
      <rPr>
        <sz val="12"/>
        <rFont val="Arial"/>
        <family val="2"/>
      </rPr>
      <t>Устройство парапетных крышек</t>
    </r>
  </si>
  <si>
    <r>
      <rPr>
        <sz val="12"/>
        <rFont val="Arial"/>
        <family val="2"/>
      </rPr>
      <t>550,00 ₽</t>
    </r>
  </si>
  <si>
    <r>
      <rPr>
        <b/>
        <sz val="12"/>
        <rFont val="Arial"/>
        <family val="2"/>
      </rPr>
      <t>Устройство кровельных аэраторов</t>
    </r>
  </si>
  <si>
    <r>
      <rPr>
        <sz val="12"/>
        <rFont val="Arial"/>
        <family val="2"/>
      </rPr>
      <t>1 400,00 ₽</t>
    </r>
  </si>
  <si>
    <r>
      <rPr>
        <b/>
        <sz val="12"/>
        <rFont val="Arial"/>
        <family val="2"/>
      </rPr>
      <t>Устройство водоприемных воронок</t>
    </r>
  </si>
  <si>
    <r>
      <rPr>
        <sz val="12"/>
        <rFont val="Arial"/>
        <family val="2"/>
      </rPr>
      <t>Монтаж воронок внутреннего водоотведения</t>
    </r>
  </si>
  <si>
    <r>
      <rPr>
        <b/>
        <i/>
        <sz val="16"/>
        <rFont val="Arial"/>
        <family val="2"/>
      </rPr>
      <t>Накладные, транспортные, организационные и утилизационные расходы:</t>
    </r>
  </si>
  <si>
    <r>
      <rPr>
        <b/>
        <sz val="14"/>
        <rFont val="Arial"/>
        <family val="2"/>
      </rPr>
      <t>Организационные и транспортные расходы:</t>
    </r>
  </si>
  <si>
    <r>
      <rPr>
        <b/>
        <sz val="14"/>
        <rFont val="Arial"/>
        <family val="2"/>
      </rPr>
      <t>ед</t>
    </r>
  </si>
  <si>
    <r>
      <rPr>
        <b/>
        <sz val="14"/>
        <rFont val="Arial"/>
        <family val="2"/>
      </rPr>
      <t>Подъемы и механизмы:</t>
    </r>
  </si>
  <si>
    <r>
      <rPr>
        <b/>
        <sz val="14"/>
        <rFont val="Arial"/>
        <family val="2"/>
      </rPr>
      <t>Утилизация и вывоз мусора</t>
    </r>
  </si>
  <si>
    <r>
      <rPr>
        <b/>
        <sz val="14"/>
        <rFont val="Arial"/>
        <family val="2"/>
      </rPr>
      <t>15 000,00 ₽</t>
    </r>
  </si>
  <si>
    <r>
      <rPr>
        <b/>
        <i/>
        <sz val="16"/>
        <rFont val="Arial"/>
        <family val="2"/>
      </rPr>
      <t>ИТОГО по Разделам накладные, транспортные, организационные и утилизационные расходы:</t>
    </r>
  </si>
  <si>
    <t>НДС 22%:</t>
  </si>
  <si>
    <t>Устройство кровельных аэраторов</t>
  </si>
  <si>
    <t>Приложение №1</t>
  </si>
  <si>
    <t>РАСЧЕТ СТОИМОСТИ РАБОТ</t>
  </si>
  <si>
    <t>Ед.
изм.</t>
  </si>
  <si>
    <t>ИТОГО по Разделам монтажные работы кровля из ПВХ-мембраны (Без НДС):</t>
  </si>
  <si>
    <t xml:space="preserve">Директор </t>
  </si>
  <si>
    <t>_____________________/Митрофанов Н.Е./</t>
  </si>
  <si>
    <t>Генподрядчик:</t>
  </si>
  <si>
    <t>ООО «Девятый трест-комфорт»</t>
  </si>
  <si>
    <t>ИНН 5920032108</t>
  </si>
  <si>
    <t>Подрядчик:</t>
  </si>
  <si>
    <t>ООО «СК-ЮГ»</t>
  </si>
  <si>
    <t>ИНН 2312330110</t>
  </si>
  <si>
    <t>Генеральный директор</t>
  </si>
  <si>
    <t>______________________/Панюков А.А./</t>
  </si>
  <si>
    <t>Устройство примыканий к проходкам малого сечения диамтером до 150 мм (к гусакам для ввода кабеля, трубам и выводам)</t>
  </si>
  <si>
    <t>Устройство примыкания к проходкам среднего сечения диамтером от 150 мм до 300 мм (к дефлекторам круглого сечения, трубам)</t>
  </si>
  <si>
    <t>к договору №__.__-Д/В__ от __.__.2026 г.</t>
  </si>
  <si>
    <t>Монтаж шины молниезащиты (механическое крепление)</t>
  </si>
  <si>
    <t>Монтаж воронок внешнего водоотведения</t>
  </si>
  <si>
    <t>Материалы:</t>
  </si>
  <si>
    <t>м2</t>
  </si>
  <si>
    <t>шт</t>
  </si>
  <si>
    <t>Итого за материалы:</t>
  </si>
  <si>
    <t xml:space="preserve">Мин. плита Технолайт Экстра 1200х600х100мм </t>
  </si>
  <si>
    <t>м3</t>
  </si>
  <si>
    <t>L-образный профиль</t>
  </si>
  <si>
    <t>Профиль усиления (коньковые усиления, усиления ендов)</t>
  </si>
  <si>
    <t>Профиль усиления деф. шва</t>
  </si>
  <si>
    <t>Саморез кровельный 4.8х29 сверлоконечный шайба EPDM</t>
  </si>
  <si>
    <t>Оцинкованный лист, толщ. 0,7 мм, 600*600 мм</t>
  </si>
  <si>
    <t>Пароизоляционная пленка ТехноНИКОЛЬ</t>
  </si>
  <si>
    <t>Двусторонний скотч</t>
  </si>
  <si>
    <t>Теплоизоляционный материал ТЕХНОРУФ В ЭКСТРА 50 мм</t>
  </si>
  <si>
    <t>Очиститель для ПВХ мембраны, 3 л.</t>
  </si>
  <si>
    <t>Прижимная кровельная планка алюминиевая 30*2000мм</t>
  </si>
  <si>
    <t>м/п</t>
  </si>
  <si>
    <t>Краевая кровельная планка алюминиевая 30*2000мм</t>
  </si>
  <si>
    <t>Крепеж кровельный ТехноНИКОЛЬ (саморез 5,5*35)</t>
  </si>
  <si>
    <t>ПУ герметик</t>
  </si>
  <si>
    <t>ПВХ Logicroof V-RP 1,2 мм мембрана серая 2,10x25 м</t>
  </si>
  <si>
    <t>ПВХ Logicroof V-SR 1,5 мм мембрана серая 2 шт. 1x10 м</t>
  </si>
  <si>
    <t>Саморез остроконечный ТехноНИКОЛЬ 4,8*50 (500 шт/уп)</t>
  </si>
  <si>
    <t>Рейка краевая алюминиевая TERMOCLIP LITE 2 м (100 п.м./упак)</t>
  </si>
  <si>
    <t>пог. м</t>
  </si>
  <si>
    <t>Герметик ТЕХНОНИКОЛЬ ПУ MASTER, серый, туба 600 мл</t>
  </si>
  <si>
    <t>Саморез сверлоконечный ТехноНИКОЛЬ 5,5*35 (1000 шт/уп)</t>
  </si>
  <si>
    <t>Итого общая сумма по всем разделам включая материалы, в т.ч. НДС исчисленный по ставке, предусмотренной п. 3 ст. 164 НК РФ:</t>
  </si>
  <si>
    <t>Монтаж профилированного настила Н-114</t>
  </si>
  <si>
    <t>Телескопический крепеж TERMOCLIP 1, 20 мм</t>
  </si>
  <si>
    <t>Саморез сверлоконечный ТехноНИКОЛЬ 4,8х80 мм</t>
  </si>
  <si>
    <t>Плиты минераловатные ТЕХНОРУФ В ЭКСТРА 1200х600х50 мм</t>
  </si>
  <si>
    <t>мп</t>
  </si>
  <si>
    <t>ИТОГО по Разделам материалы (С НДС):</t>
  </si>
  <si>
    <t>Итого общая сумма по всем разделам работы+НР (Без НДС):</t>
  </si>
  <si>
    <t>Устройство контруклона в ендовах из минераловатных теплоизоляционных плит 4,2 %</t>
  </si>
  <si>
    <t>ПВХ мембрана, толщиной 1,2 мм.</t>
  </si>
  <si>
    <t>Армированная ПВХ мембрана Logicroof V-RP (или аналог) толщиной 1,2 мм</t>
  </si>
  <si>
    <t>Демонтажные работы в осях 36-47/П-Э</t>
  </si>
  <si>
    <t xml:space="preserve">Демонтаж профилированного настила </t>
  </si>
  <si>
    <t xml:space="preserve">Демонтаж гидроизоляционного слоя </t>
  </si>
  <si>
    <t>Демонтаж теплоизоляционного слоя</t>
  </si>
  <si>
    <t xml:space="preserve">Если применять частично демонтированный утеплитель. То необходимо </t>
  </si>
  <si>
    <t>Наименование работ.</t>
  </si>
  <si>
    <t>Ед.изм.</t>
  </si>
  <si>
    <t>Кол-во</t>
  </si>
  <si>
    <t>Цена за ед. (с НДС-22%) ТН</t>
  </si>
  <si>
    <t>Сумма ТН (с НДС-22%)</t>
  </si>
  <si>
    <t>Цена за ед. (с НДС-22%) Фахман</t>
  </si>
  <si>
    <t>Сумма Фахман (с НДС-22%)</t>
  </si>
  <si>
    <t>рул.</t>
  </si>
  <si>
    <t>Доставка:</t>
  </si>
  <si>
    <t>Всего:</t>
  </si>
  <si>
    <t>Итого общая сумма по всем разделам (Без НДС) с материалом (НДС):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</si>
</sst>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#,##0.00\ &quot;₽&quot;;\-#,##0.00\ &quot;₽&quot;"/>
    <numFmt numFmtId="8" formatCode="#,##0.00\ &quot;₽&quot;;[Red]\-#,##0.00\ &quot;₽&quot;"/>
    <numFmt numFmtId="44" formatCode="_-* #,##0.00\ &quot;₽&quot;_-;\-* #,##0.00\ &quot;₽&quot;_-;_-* &quot;-&quot;??\ &quot;₽&quot;_-;_-@_-"/>
    <numFmt numFmtId="164" formatCode="#,##0.00\ &quot;₽&quot;"/>
  </numFmts>
  <fonts count="30" x14ac:knownFonts="1">
    <font>
      <sz val="10"/>
      <color rgb="FF000000"/>
      <name val="Times New Roman"/>
      <charset val="204"/>
    </font>
    <font>
      <b/>
      <sz val="12"/>
      <name val="Arial"/>
      <family val="2"/>
      <charset val="204"/>
    </font>
    <font>
      <i/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0000"/>
      <name val="Arial"/>
      <family val="2"/>
    </font>
    <font>
      <b/>
      <i/>
      <sz val="12"/>
      <name val="Arial"/>
      <family val="2"/>
      <charset val="204"/>
    </font>
    <font>
      <b/>
      <i/>
      <sz val="16"/>
      <name val="Arial"/>
      <family val="2"/>
      <charset val="204"/>
    </font>
    <font>
      <b/>
      <sz val="14"/>
      <name val="Arial"/>
      <family val="2"/>
      <charset val="204"/>
    </font>
    <font>
      <b/>
      <sz val="14"/>
      <color rgb="FF00000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b/>
      <i/>
      <sz val="16"/>
      <name val="Arial"/>
      <family val="2"/>
    </font>
    <font>
      <b/>
      <sz val="14"/>
      <name val="Arial"/>
      <family val="2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6"/>
      <name val="Arial"/>
      <family val="2"/>
      <charset val="204"/>
    </font>
    <font>
      <b/>
      <i/>
      <sz val="15"/>
      <name val="Arial"/>
      <family val="2"/>
      <charset val="204"/>
    </font>
    <font>
      <b/>
      <sz val="10.5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i/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12"/>
      <name val="Arial"/>
      <family val="2"/>
      <charset val="204"/>
    </font>
    <font>
      <sz val="11"/>
      <color theme="1"/>
      <name val="Arial"/>
      <family val="2"/>
      <charset val="204"/>
    </font>
    <font>
      <b/>
      <i/>
      <sz val="16"/>
      <color theme="1"/>
      <name val="Arial"/>
      <family val="2"/>
      <charset val="204"/>
    </font>
    <font>
      <sz val="10"/>
      <color rgb="FF000000"/>
      <name val="Times New Roman"/>
      <charset val="204"/>
    </font>
    <font>
      <b/>
      <sz val="12"/>
      <color theme="1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F5C5AB"/>
      </patternFill>
    </fill>
    <fill>
      <patternFill patternType="solid">
        <fgColor rgb="FFDAF1D0"/>
      </patternFill>
    </fill>
    <fill>
      <patternFill patternType="solid">
        <fgColor rgb="FFFAE1D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20" fillId="0" borderId="0" applyFont="0" applyFill="0" applyBorder="0" applyAlignment="0" applyProtection="0"/>
    <xf numFmtId="0" fontId="27" fillId="0" borderId="0"/>
    <xf numFmtId="0" fontId="20" fillId="0" borderId="0"/>
  </cellStyleXfs>
  <cellXfs count="239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right" vertical="top" wrapText="1"/>
    </xf>
    <xf numFmtId="0" fontId="5" fillId="3" borderId="1" xfId="0" applyFont="1" applyFill="1" applyBorder="1" applyAlignment="1">
      <alignment horizontal="right" vertical="top" wrapText="1"/>
    </xf>
    <xf numFmtId="0" fontId="0" fillId="3" borderId="1" xfId="0" applyFill="1" applyBorder="1" applyAlignment="1">
      <alignment horizontal="left" wrapText="1"/>
    </xf>
    <xf numFmtId="0" fontId="3" fillId="0" borderId="4" xfId="0" applyFont="1" applyBorder="1" applyAlignment="1">
      <alignment horizontal="left" vertical="top" wrapText="1"/>
    </xf>
    <xf numFmtId="4" fontId="4" fillId="0" borderId="4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right" vertical="top" wrapText="1"/>
    </xf>
    <xf numFmtId="0" fontId="3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right" vertical="center" shrinkToFit="1"/>
    </xf>
    <xf numFmtId="0" fontId="3" fillId="0" borderId="1" xfId="0" applyFont="1" applyBorder="1" applyAlignment="1">
      <alignment horizontal="right" vertical="center" wrapText="1"/>
    </xf>
    <xf numFmtId="2" fontId="4" fillId="0" borderId="1" xfId="0" applyNumberFormat="1" applyFont="1" applyBorder="1" applyAlignment="1">
      <alignment horizontal="right" vertical="top" shrinkToFit="1"/>
    </xf>
    <xf numFmtId="2" fontId="4" fillId="0" borderId="1" xfId="0" applyNumberFormat="1" applyFont="1" applyBorder="1" applyAlignment="1">
      <alignment horizontal="right" vertical="center" shrinkToFit="1"/>
    </xf>
    <xf numFmtId="4" fontId="4" fillId="0" borderId="1" xfId="0" applyNumberFormat="1" applyFont="1" applyBorder="1" applyAlignment="1">
      <alignment horizontal="right" vertical="top" shrinkToFit="1"/>
    </xf>
    <xf numFmtId="0" fontId="3" fillId="0" borderId="4" xfId="0" applyFont="1" applyBorder="1" applyAlignment="1">
      <alignment horizontal="left" wrapText="1"/>
    </xf>
    <xf numFmtId="2" fontId="4" fillId="0" borderId="4" xfId="0" applyNumberFormat="1" applyFont="1" applyBorder="1" applyAlignment="1">
      <alignment horizontal="right" shrinkToFit="1"/>
    </xf>
    <xf numFmtId="0" fontId="3" fillId="0" borderId="4" xfId="0" applyFont="1" applyBorder="1" applyAlignment="1">
      <alignment horizontal="right" wrapText="1"/>
    </xf>
    <xf numFmtId="0" fontId="7" fillId="5" borderId="1" xfId="0" applyFont="1" applyFill="1" applyBorder="1" applyAlignment="1">
      <alignment horizontal="left" vertical="top" wrapText="1"/>
    </xf>
    <xf numFmtId="2" fontId="8" fillId="5" borderId="1" xfId="0" applyNumberFormat="1" applyFont="1" applyFill="1" applyBorder="1" applyAlignment="1">
      <alignment horizontal="right" vertical="top" shrinkToFit="1"/>
    </xf>
    <xf numFmtId="0" fontId="7" fillId="5" borderId="6" xfId="0" applyFont="1" applyFill="1" applyBorder="1" applyAlignment="1">
      <alignment horizontal="left" vertical="top" wrapText="1"/>
    </xf>
    <xf numFmtId="2" fontId="8" fillId="5" borderId="6" xfId="0" applyNumberFormat="1" applyFont="1" applyFill="1" applyBorder="1" applyAlignment="1">
      <alignment horizontal="right" vertical="top" shrinkToFit="1"/>
    </xf>
    <xf numFmtId="0" fontId="7" fillId="5" borderId="6" xfId="0" applyFont="1" applyFill="1" applyBorder="1" applyAlignment="1">
      <alignment horizontal="right" vertical="top" wrapText="1"/>
    </xf>
    <xf numFmtId="164" fontId="3" fillId="0" borderId="1" xfId="0" applyNumberFormat="1" applyFont="1" applyBorder="1" applyAlignment="1">
      <alignment horizontal="right" vertical="top" wrapText="1"/>
    </xf>
    <xf numFmtId="164" fontId="7" fillId="5" borderId="6" xfId="0" applyNumberFormat="1" applyFont="1" applyFill="1" applyBorder="1" applyAlignment="1">
      <alignment horizontal="right" vertical="top" wrapText="1"/>
    </xf>
    <xf numFmtId="164" fontId="7" fillId="5" borderId="1" xfId="0" applyNumberFormat="1" applyFont="1" applyFill="1" applyBorder="1" applyAlignment="1">
      <alignment horizontal="right" vertical="top" wrapText="1"/>
    </xf>
    <xf numFmtId="0" fontId="15" fillId="0" borderId="0" xfId="0" applyFont="1" applyAlignment="1">
      <alignment horizontal="right" vertical="top"/>
    </xf>
    <xf numFmtId="0" fontId="15" fillId="0" borderId="0" xfId="0" applyFont="1" applyAlignment="1">
      <alignment horizontal="left" vertical="top"/>
    </xf>
    <xf numFmtId="164" fontId="17" fillId="4" borderId="5" xfId="0" applyNumberFormat="1" applyFont="1" applyFill="1" applyBorder="1" applyAlignment="1">
      <alignment horizontal="right" vertical="top" wrapText="1"/>
    </xf>
    <xf numFmtId="0" fontId="19" fillId="0" borderId="0" xfId="0" applyFont="1" applyAlignment="1">
      <alignment horizontal="left" vertical="top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top"/>
    </xf>
    <xf numFmtId="4" fontId="4" fillId="0" borderId="1" xfId="0" applyNumberFormat="1" applyFont="1" applyBorder="1" applyAlignment="1">
      <alignment vertical="top" shrinkToFit="1"/>
    </xf>
    <xf numFmtId="0" fontId="21" fillId="0" borderId="10" xfId="0" applyFont="1" applyBorder="1" applyAlignment="1">
      <alignment horizontal="center" wrapText="1"/>
    </xf>
    <xf numFmtId="0" fontId="22" fillId="0" borderId="5" xfId="0" applyFont="1" applyBorder="1" applyAlignment="1">
      <alignment wrapText="1"/>
    </xf>
    <xf numFmtId="2" fontId="22" fillId="0" borderId="5" xfId="0" applyNumberFormat="1" applyFont="1" applyBorder="1" applyAlignment="1">
      <alignment horizontal="right" wrapText="1"/>
    </xf>
    <xf numFmtId="164" fontId="22" fillId="0" borderId="5" xfId="0" applyNumberFormat="1" applyFont="1" applyBorder="1" applyAlignment="1">
      <alignment horizontal="right" wrapText="1"/>
    </xf>
    <xf numFmtId="164" fontId="22" fillId="0" borderId="11" xfId="0" applyNumberFormat="1" applyFont="1" applyBorder="1" applyAlignment="1">
      <alignment horizontal="right" wrapText="1"/>
    </xf>
    <xf numFmtId="0" fontId="0" fillId="0" borderId="0" xfId="0"/>
    <xf numFmtId="164" fontId="0" fillId="0" borderId="0" xfId="0" applyNumberFormat="1"/>
    <xf numFmtId="0" fontId="23" fillId="6" borderId="10" xfId="0" applyFont="1" applyFill="1" applyBorder="1" applyAlignment="1">
      <alignment horizontal="right" wrapText="1"/>
    </xf>
    <xf numFmtId="0" fontId="22" fillId="6" borderId="5" xfId="0" applyFont="1" applyFill="1" applyBorder="1" applyAlignment="1">
      <alignment wrapText="1"/>
    </xf>
    <xf numFmtId="2" fontId="22" fillId="6" borderId="5" xfId="0" applyNumberFormat="1" applyFont="1" applyFill="1" applyBorder="1" applyAlignment="1">
      <alignment horizontal="center" wrapText="1"/>
    </xf>
    <xf numFmtId="44" fontId="22" fillId="6" borderId="7" xfId="1" applyFont="1" applyFill="1" applyBorder="1" applyAlignment="1">
      <alignment horizontal="center" wrapText="1"/>
    </xf>
    <xf numFmtId="164" fontId="23" fillId="6" borderId="15" xfId="1" applyNumberFormat="1" applyFont="1" applyFill="1" applyBorder="1" applyAlignment="1">
      <alignment horizontal="right" wrapText="1"/>
    </xf>
    <xf numFmtId="44" fontId="22" fillId="0" borderId="5" xfId="1" applyFont="1" applyBorder="1" applyAlignment="1">
      <alignment horizontal="right" wrapText="1"/>
    </xf>
    <xf numFmtId="44" fontId="22" fillId="0" borderId="11" xfId="1" applyFont="1" applyBorder="1" applyAlignment="1">
      <alignment horizontal="right" wrapText="1"/>
    </xf>
    <xf numFmtId="0" fontId="22" fillId="7" borderId="10" xfId="0" applyFont="1" applyFill="1" applyBorder="1"/>
    <xf numFmtId="0" fontId="22" fillId="7" borderId="5" xfId="0" applyFont="1" applyFill="1" applyBorder="1"/>
    <xf numFmtId="4" fontId="24" fillId="7" borderId="5" xfId="0" applyNumberFormat="1" applyFont="1" applyFill="1" applyBorder="1" applyAlignment="1">
      <alignment horizontal="right"/>
    </xf>
    <xf numFmtId="164" fontId="22" fillId="0" borderId="5" xfId="0" applyNumberFormat="1" applyFont="1" applyBorder="1" applyAlignment="1">
      <alignment wrapText="1"/>
    </xf>
    <xf numFmtId="164" fontId="22" fillId="0" borderId="16" xfId="0" applyNumberFormat="1" applyFont="1" applyBorder="1" applyAlignment="1">
      <alignment wrapText="1"/>
    </xf>
    <xf numFmtId="2" fontId="22" fillId="7" borderId="5" xfId="0" applyNumberFormat="1" applyFont="1" applyFill="1" applyBorder="1" applyAlignment="1">
      <alignment horizontal="right" wrapText="1"/>
    </xf>
    <xf numFmtId="0" fontId="22" fillId="0" borderId="10" xfId="0" applyFont="1" applyBorder="1" applyAlignment="1">
      <alignment wrapText="1"/>
    </xf>
    <xf numFmtId="0" fontId="24" fillId="0" borderId="10" xfId="0" applyFont="1" applyBorder="1" applyAlignment="1">
      <alignment horizontal="left" vertical="top" wrapText="1"/>
    </xf>
    <xf numFmtId="0" fontId="24" fillId="0" borderId="5" xfId="0" applyFont="1" applyBorder="1" applyAlignment="1">
      <alignment horizontal="left" vertical="top" wrapText="1"/>
    </xf>
    <xf numFmtId="2" fontId="4" fillId="0" borderId="5" xfId="0" applyNumberFormat="1" applyFont="1" applyBorder="1" applyAlignment="1">
      <alignment horizontal="right" vertical="top" shrinkToFit="1"/>
    </xf>
    <xf numFmtId="44" fontId="24" fillId="0" borderId="5" xfId="1" applyFont="1" applyBorder="1" applyAlignment="1">
      <alignment horizontal="right" vertical="top" wrapText="1"/>
    </xf>
    <xf numFmtId="44" fontId="24" fillId="0" borderId="16" xfId="1" applyFont="1" applyBorder="1" applyAlignment="1">
      <alignment horizontal="right" vertical="top" wrapText="1"/>
    </xf>
    <xf numFmtId="44" fontId="23" fillId="6" borderId="15" xfId="1" applyFont="1" applyFill="1" applyBorder="1" applyAlignment="1">
      <alignment horizontal="right" wrapText="1"/>
    </xf>
    <xf numFmtId="0" fontId="0" fillId="3" borderId="2" xfId="0" applyFill="1" applyBorder="1" applyAlignment="1">
      <alignment horizontal="left" wrapText="1"/>
    </xf>
    <xf numFmtId="8" fontId="5" fillId="3" borderId="15" xfId="0" applyNumberFormat="1" applyFont="1" applyFill="1" applyBorder="1" applyAlignment="1">
      <alignment horizontal="right" vertical="top" wrapText="1"/>
    </xf>
    <xf numFmtId="8" fontId="5" fillId="4" borderId="15" xfId="0" applyNumberFormat="1" applyFont="1" applyFill="1" applyBorder="1" applyAlignment="1">
      <alignment horizontal="right" vertical="top" wrapText="1"/>
    </xf>
    <xf numFmtId="0" fontId="2" fillId="0" borderId="23" xfId="0" applyFont="1" applyBorder="1" applyAlignment="1">
      <alignment horizontal="center" vertical="top" wrapText="1"/>
    </xf>
    <xf numFmtId="0" fontId="0" fillId="0" borderId="24" xfId="0" applyBorder="1" applyAlignment="1">
      <alignment horizontal="left" wrapText="1"/>
    </xf>
    <xf numFmtId="0" fontId="3" fillId="0" borderId="23" xfId="0" applyFont="1" applyBorder="1" applyAlignment="1">
      <alignment horizontal="left" vertical="top" wrapText="1"/>
    </xf>
    <xf numFmtId="8" fontId="3" fillId="0" borderId="25" xfId="0" applyNumberFormat="1" applyFont="1" applyBorder="1" applyAlignment="1">
      <alignment horizontal="right" vertical="top" wrapText="1"/>
    </xf>
    <xf numFmtId="0" fontId="5" fillId="3" borderId="23" xfId="0" applyFont="1" applyFill="1" applyBorder="1" applyAlignment="1">
      <alignment horizontal="right" vertical="top" wrapText="1"/>
    </xf>
    <xf numFmtId="164" fontId="22" fillId="0" borderId="16" xfId="0" applyNumberFormat="1" applyFont="1" applyBorder="1" applyAlignment="1">
      <alignment horizontal="right" wrapText="1"/>
    </xf>
    <xf numFmtId="0" fontId="5" fillId="4" borderId="26" xfId="0" applyFont="1" applyFill="1" applyBorder="1" applyAlignment="1">
      <alignment horizontal="left" vertical="top" wrapText="1"/>
    </xf>
    <xf numFmtId="0" fontId="0" fillId="4" borderId="27" xfId="0" applyFill="1" applyBorder="1" applyAlignment="1">
      <alignment horizontal="left" wrapText="1"/>
    </xf>
    <xf numFmtId="0" fontId="0" fillId="4" borderId="28" xfId="0" applyFill="1" applyBorder="1" applyAlignment="1">
      <alignment horizontal="left" wrapText="1"/>
    </xf>
    <xf numFmtId="0" fontId="1" fillId="2" borderId="29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 wrapText="1" indent="2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23" fillId="6" borderId="32" xfId="0" applyFont="1" applyFill="1" applyBorder="1" applyAlignment="1">
      <alignment horizontal="right" wrapText="1"/>
    </xf>
    <xf numFmtId="0" fontId="22" fillId="6" borderId="14" xfId="0" applyFont="1" applyFill="1" applyBorder="1" applyAlignment="1">
      <alignment wrapText="1"/>
    </xf>
    <xf numFmtId="2" fontId="22" fillId="6" borderId="14" xfId="0" applyNumberFormat="1" applyFont="1" applyFill="1" applyBorder="1" applyAlignment="1">
      <alignment horizontal="center" wrapText="1"/>
    </xf>
    <xf numFmtId="44" fontId="22" fillId="6" borderId="33" xfId="1" applyFont="1" applyFill="1" applyBorder="1" applyAlignment="1">
      <alignment horizontal="center" wrapText="1"/>
    </xf>
    <xf numFmtId="164" fontId="23" fillId="6" borderId="34" xfId="1" applyNumberFormat="1" applyFont="1" applyFill="1" applyBorder="1" applyAlignment="1">
      <alignment horizontal="right" wrapText="1"/>
    </xf>
    <xf numFmtId="0" fontId="5" fillId="4" borderId="29" xfId="0" applyFont="1" applyFill="1" applyBorder="1" applyAlignment="1">
      <alignment horizontal="left" vertical="top" wrapText="1"/>
    </xf>
    <xf numFmtId="0" fontId="0" fillId="4" borderId="30" xfId="0" applyFill="1" applyBorder="1" applyAlignment="1">
      <alignment horizontal="left" wrapText="1"/>
    </xf>
    <xf numFmtId="8" fontId="5" fillId="4" borderId="31" xfId="0" applyNumberFormat="1" applyFont="1" applyFill="1" applyBorder="1" applyAlignment="1">
      <alignment horizontal="right" vertical="top" wrapText="1"/>
    </xf>
    <xf numFmtId="0" fontId="3" fillId="0" borderId="35" xfId="0" applyFont="1" applyBorder="1" applyAlignment="1">
      <alignment horizontal="left" vertical="top" wrapText="1"/>
    </xf>
    <xf numFmtId="8" fontId="3" fillId="0" borderId="24" xfId="0" applyNumberFormat="1" applyFont="1" applyBorder="1" applyAlignment="1">
      <alignment horizontal="right" vertical="top" wrapText="1"/>
    </xf>
    <xf numFmtId="164" fontId="5" fillId="4" borderId="15" xfId="0" applyNumberFormat="1" applyFont="1" applyFill="1" applyBorder="1" applyAlignment="1">
      <alignment horizontal="right" vertical="top" wrapText="1"/>
    </xf>
    <xf numFmtId="164" fontId="5" fillId="3" borderId="15" xfId="0" applyNumberFormat="1" applyFont="1" applyFill="1" applyBorder="1" applyAlignment="1">
      <alignment horizontal="right" vertical="top" wrapText="1"/>
    </xf>
    <xf numFmtId="0" fontId="10" fillId="0" borderId="23" xfId="0" applyFont="1" applyBorder="1" applyAlignment="1">
      <alignment horizontal="left" vertical="top" wrapText="1"/>
    </xf>
    <xf numFmtId="164" fontId="3" fillId="0" borderId="25" xfId="0" applyNumberFormat="1" applyFont="1" applyBorder="1" applyAlignment="1">
      <alignment horizontal="right" vertical="top" wrapText="1"/>
    </xf>
    <xf numFmtId="164" fontId="3" fillId="0" borderId="25" xfId="0" applyNumberFormat="1" applyFont="1" applyBorder="1" applyAlignment="1">
      <alignment horizontal="right" vertical="center" wrapText="1"/>
    </xf>
    <xf numFmtId="44" fontId="23" fillId="6" borderId="34" xfId="1" applyFont="1" applyFill="1" applyBorder="1" applyAlignment="1">
      <alignment horizontal="right" wrapText="1"/>
    </xf>
    <xf numFmtId="0" fontId="22" fillId="0" borderId="23" xfId="0" applyFont="1" applyBorder="1" applyAlignment="1">
      <alignment wrapText="1"/>
    </xf>
    <xf numFmtId="0" fontId="22" fillId="0" borderId="1" xfId="0" applyFont="1" applyBorder="1" applyAlignment="1">
      <alignment wrapText="1"/>
    </xf>
    <xf numFmtId="2" fontId="22" fillId="7" borderId="1" xfId="0" applyNumberFormat="1" applyFont="1" applyFill="1" applyBorder="1" applyAlignment="1">
      <alignment horizontal="right" wrapText="1"/>
    </xf>
    <xf numFmtId="164" fontId="22" fillId="0" borderId="1" xfId="0" applyNumberFormat="1" applyFont="1" applyBorder="1" applyAlignment="1">
      <alignment horizontal="right" wrapText="1"/>
    </xf>
    <xf numFmtId="1" fontId="22" fillId="7" borderId="1" xfId="0" applyNumberFormat="1" applyFont="1" applyFill="1" applyBorder="1" applyAlignment="1">
      <alignment horizontal="right" wrapText="1"/>
    </xf>
    <xf numFmtId="164" fontId="22" fillId="6" borderId="5" xfId="0" applyNumberFormat="1" applyFont="1" applyFill="1" applyBorder="1" applyAlignment="1">
      <alignment horizontal="center" wrapText="1"/>
    </xf>
    <xf numFmtId="164" fontId="23" fillId="6" borderId="15" xfId="0" applyNumberFormat="1" applyFont="1" applyFill="1" applyBorder="1" applyAlignment="1">
      <alignment horizontal="right" wrapText="1"/>
    </xf>
    <xf numFmtId="0" fontId="5" fillId="4" borderId="37" xfId="0" applyFont="1" applyFill="1" applyBorder="1" applyAlignment="1">
      <alignment horizontal="left" vertical="top" wrapText="1"/>
    </xf>
    <xf numFmtId="0" fontId="0" fillId="4" borderId="38" xfId="0" applyFill="1" applyBorder="1" applyAlignment="1">
      <alignment horizontal="left" wrapText="1"/>
    </xf>
    <xf numFmtId="0" fontId="0" fillId="4" borderId="39" xfId="0" applyFill="1" applyBorder="1" applyAlignment="1">
      <alignment horizontal="left" wrapText="1"/>
    </xf>
    <xf numFmtId="0" fontId="5" fillId="4" borderId="6" xfId="0" applyFont="1" applyFill="1" applyBorder="1" applyAlignment="1">
      <alignment horizontal="left" vertical="top" wrapText="1"/>
    </xf>
    <xf numFmtId="0" fontId="0" fillId="4" borderId="6" xfId="0" applyFill="1" applyBorder="1" applyAlignment="1">
      <alignment horizontal="left" wrapText="1"/>
    </xf>
    <xf numFmtId="0" fontId="0" fillId="4" borderId="40" xfId="0" applyFill="1" applyBorder="1" applyAlignment="1">
      <alignment horizontal="left" wrapText="1"/>
    </xf>
    <xf numFmtId="0" fontId="22" fillId="0" borderId="1" xfId="0" applyFont="1" applyBorder="1"/>
    <xf numFmtId="2" fontId="22" fillId="7" borderId="1" xfId="0" applyNumberFormat="1" applyFont="1" applyFill="1" applyBorder="1" applyAlignment="1">
      <alignment horizontal="right"/>
    </xf>
    <xf numFmtId="44" fontId="5" fillId="4" borderId="15" xfId="0" applyNumberFormat="1" applyFont="1" applyFill="1" applyBorder="1" applyAlignment="1">
      <alignment horizontal="right" vertical="top" wrapText="1"/>
    </xf>
    <xf numFmtId="164" fontId="25" fillId="0" borderId="16" xfId="0" applyNumberFormat="1" applyFont="1" applyBorder="1"/>
    <xf numFmtId="4" fontId="22" fillId="7" borderId="5" xfId="0" applyNumberFormat="1" applyFont="1" applyFill="1" applyBorder="1" applyAlignment="1">
      <alignment wrapText="1"/>
    </xf>
    <xf numFmtId="164" fontId="22" fillId="0" borderId="11" xfId="0" applyNumberFormat="1" applyFont="1" applyBorder="1" applyAlignment="1">
      <alignment wrapText="1"/>
    </xf>
    <xf numFmtId="0" fontId="22" fillId="7" borderId="23" xfId="0" applyFont="1" applyFill="1" applyBorder="1" applyAlignment="1">
      <alignment wrapText="1"/>
    </xf>
    <xf numFmtId="0" fontId="22" fillId="7" borderId="1" xfId="0" applyFont="1" applyFill="1" applyBorder="1"/>
    <xf numFmtId="0" fontId="22" fillId="7" borderId="32" xfId="0" applyFont="1" applyFill="1" applyBorder="1" applyAlignment="1">
      <alignment wrapText="1"/>
    </xf>
    <xf numFmtId="0" fontId="22" fillId="7" borderId="14" xfId="0" applyFont="1" applyFill="1" applyBorder="1" applyAlignment="1">
      <alignment wrapText="1"/>
    </xf>
    <xf numFmtId="1" fontId="22" fillId="7" borderId="1" xfId="0" applyNumberFormat="1" applyFont="1" applyFill="1" applyBorder="1" applyAlignment="1">
      <alignment horizontal="right"/>
    </xf>
    <xf numFmtId="164" fontId="3" fillId="0" borderId="24" xfId="0" applyNumberFormat="1" applyFont="1" applyBorder="1" applyAlignment="1">
      <alignment horizontal="right" vertical="top" wrapText="1"/>
    </xf>
    <xf numFmtId="0" fontId="22" fillId="7" borderId="10" xfId="0" applyFont="1" applyFill="1" applyBorder="1" applyAlignment="1">
      <alignment wrapText="1"/>
    </xf>
    <xf numFmtId="0" fontId="22" fillId="7" borderId="5" xfId="0" applyFont="1" applyFill="1" applyBorder="1" applyAlignment="1">
      <alignment wrapText="1"/>
    </xf>
    <xf numFmtId="2" fontId="22" fillId="7" borderId="5" xfId="0" applyNumberFormat="1" applyFont="1" applyFill="1" applyBorder="1" applyAlignment="1">
      <alignment wrapText="1"/>
    </xf>
    <xf numFmtId="44" fontId="22" fillId="7" borderId="16" xfId="1" applyFont="1" applyFill="1" applyBorder="1" applyAlignment="1">
      <alignment wrapText="1"/>
    </xf>
    <xf numFmtId="0" fontId="0" fillId="7" borderId="0" xfId="0" applyFill="1"/>
    <xf numFmtId="44" fontId="22" fillId="0" borderId="5" xfId="1" applyFont="1" applyBorder="1" applyAlignment="1">
      <alignment wrapText="1"/>
    </xf>
    <xf numFmtId="1" fontId="22" fillId="0" borderId="5" xfId="0" applyNumberFormat="1" applyFont="1" applyBorder="1" applyAlignment="1">
      <alignment wrapText="1"/>
    </xf>
    <xf numFmtId="44" fontId="22" fillId="7" borderId="13" xfId="1" applyFont="1" applyFill="1" applyBorder="1" applyAlignment="1">
      <alignment wrapText="1"/>
    </xf>
    <xf numFmtId="164" fontId="26" fillId="6" borderId="15" xfId="0" applyNumberFormat="1" applyFont="1" applyFill="1" applyBorder="1" applyAlignment="1">
      <alignment horizontal="right" wrapText="1"/>
    </xf>
    <xf numFmtId="164" fontId="13" fillId="3" borderId="15" xfId="0" applyNumberFormat="1" applyFont="1" applyFill="1" applyBorder="1" applyAlignment="1">
      <alignment vertical="top" wrapText="1"/>
    </xf>
    <xf numFmtId="164" fontId="5" fillId="4" borderId="46" xfId="0" applyNumberFormat="1" applyFont="1" applyFill="1" applyBorder="1" applyAlignment="1">
      <alignment horizontal="right" vertical="top" wrapText="1"/>
    </xf>
    <xf numFmtId="164" fontId="5" fillId="3" borderId="17" xfId="0" applyNumberFormat="1" applyFont="1" applyFill="1" applyBorder="1" applyAlignment="1">
      <alignment horizontal="right" vertical="top" wrapText="1"/>
    </xf>
    <xf numFmtId="0" fontId="0" fillId="4" borderId="31" xfId="0" applyFill="1" applyBorder="1" applyAlignment="1">
      <alignment horizontal="left" wrapText="1"/>
    </xf>
    <xf numFmtId="0" fontId="5" fillId="3" borderId="29" xfId="0" applyFont="1" applyFill="1" applyBorder="1" applyAlignment="1">
      <alignment horizontal="right" vertical="top" wrapText="1"/>
    </xf>
    <xf numFmtId="0" fontId="0" fillId="3" borderId="30" xfId="0" applyFill="1" applyBorder="1" applyAlignment="1">
      <alignment horizontal="left" wrapText="1"/>
    </xf>
    <xf numFmtId="0" fontId="0" fillId="3" borderId="31" xfId="0" applyFill="1" applyBorder="1" applyAlignment="1">
      <alignment horizontal="left" wrapText="1"/>
    </xf>
    <xf numFmtId="0" fontId="10" fillId="0" borderId="26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2" fontId="4" fillId="0" borderId="27" xfId="0" applyNumberFormat="1" applyFont="1" applyBorder="1" applyAlignment="1">
      <alignment horizontal="right" vertical="top" shrinkToFit="1"/>
    </xf>
    <xf numFmtId="0" fontId="3" fillId="0" borderId="27" xfId="0" applyFont="1" applyBorder="1" applyAlignment="1">
      <alignment horizontal="right" vertical="top" wrapText="1"/>
    </xf>
    <xf numFmtId="164" fontId="3" fillId="0" borderId="36" xfId="0" applyNumberFormat="1" applyFont="1" applyBorder="1" applyAlignment="1">
      <alignment horizontal="right" vertical="top" wrapText="1"/>
    </xf>
    <xf numFmtId="164" fontId="5" fillId="4" borderId="31" xfId="0" applyNumberFormat="1" applyFont="1" applyFill="1" applyBorder="1" applyAlignment="1">
      <alignment horizontal="right" vertical="top" wrapText="1"/>
    </xf>
    <xf numFmtId="0" fontId="3" fillId="0" borderId="26" xfId="0" applyFont="1" applyBorder="1" applyAlignment="1">
      <alignment horizontal="left" vertical="top" wrapText="1"/>
    </xf>
    <xf numFmtId="164" fontId="5" fillId="3" borderId="48" xfId="0" applyNumberFormat="1" applyFont="1" applyFill="1" applyBorder="1" applyAlignment="1">
      <alignment horizontal="right" vertical="top" wrapText="1"/>
    </xf>
    <xf numFmtId="164" fontId="3" fillId="0" borderId="49" xfId="0" applyNumberFormat="1" applyFont="1" applyBorder="1" applyAlignment="1">
      <alignment horizontal="right" wrapText="1"/>
    </xf>
    <xf numFmtId="7" fontId="5" fillId="3" borderId="15" xfId="0" applyNumberFormat="1" applyFont="1" applyFill="1" applyBorder="1" applyAlignment="1">
      <alignment horizontal="right" vertical="top" wrapText="1"/>
    </xf>
    <xf numFmtId="7" fontId="5" fillId="4" borderId="15" xfId="0" applyNumberFormat="1" applyFont="1" applyFill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center" wrapText="1"/>
    </xf>
    <xf numFmtId="44" fontId="3" fillId="0" borderId="25" xfId="0" applyNumberFormat="1" applyFont="1" applyBorder="1" applyAlignment="1">
      <alignment horizontal="right" vertical="center" wrapText="1"/>
    </xf>
    <xf numFmtId="44" fontId="5" fillId="3" borderId="15" xfId="0" applyNumberFormat="1" applyFont="1" applyFill="1" applyBorder="1" applyAlignment="1">
      <alignment horizontal="right" vertical="top" wrapText="1"/>
    </xf>
    <xf numFmtId="7" fontId="3" fillId="0" borderId="25" xfId="0" applyNumberFormat="1" applyFont="1" applyBorder="1" applyAlignment="1">
      <alignment horizontal="right" vertical="top" wrapText="1"/>
    </xf>
    <xf numFmtId="0" fontId="22" fillId="7" borderId="0" xfId="0" applyFont="1" applyFill="1" applyAlignment="1">
      <alignment wrapText="1"/>
    </xf>
    <xf numFmtId="0" fontId="22" fillId="7" borderId="1" xfId="0" applyFont="1" applyFill="1" applyBorder="1" applyAlignment="1">
      <alignment wrapText="1"/>
    </xf>
    <xf numFmtId="164" fontId="22" fillId="7" borderId="5" xfId="1" applyNumberFormat="1" applyFont="1" applyFill="1" applyBorder="1" applyAlignment="1">
      <alignment wrapText="1"/>
    </xf>
    <xf numFmtId="164" fontId="22" fillId="0" borderId="5" xfId="1" applyNumberFormat="1" applyFont="1" applyBorder="1" applyAlignment="1">
      <alignment wrapText="1"/>
    </xf>
    <xf numFmtId="164" fontId="22" fillId="7" borderId="1" xfId="0" applyNumberFormat="1" applyFont="1" applyFill="1" applyBorder="1" applyAlignment="1">
      <alignment horizontal="right" wrapText="1"/>
    </xf>
    <xf numFmtId="164" fontId="22" fillId="7" borderId="16" xfId="0" applyNumberFormat="1" applyFont="1" applyFill="1" applyBorder="1" applyAlignment="1">
      <alignment wrapText="1"/>
    </xf>
    <xf numFmtId="164" fontId="22" fillId="7" borderId="16" xfId="0" applyNumberFormat="1" applyFont="1" applyFill="1" applyBorder="1" applyAlignment="1">
      <alignment horizontal="right" wrapText="1"/>
    </xf>
    <xf numFmtId="164" fontId="22" fillId="7" borderId="11" xfId="0" applyNumberFormat="1" applyFont="1" applyFill="1" applyBorder="1" applyAlignment="1">
      <alignment wrapText="1"/>
    </xf>
    <xf numFmtId="0" fontId="22" fillId="7" borderId="10" xfId="0" applyFont="1" applyFill="1" applyBorder="1" applyAlignment="1">
      <alignment horizontal="left" vertical="center" wrapText="1"/>
    </xf>
    <xf numFmtId="4" fontId="22" fillId="7" borderId="5" xfId="0" applyNumberFormat="1" applyFont="1" applyFill="1" applyBorder="1" applyAlignment="1">
      <alignment horizontal="right"/>
    </xf>
    <xf numFmtId="164" fontId="22" fillId="7" borderId="5" xfId="0" applyNumberFormat="1" applyFont="1" applyFill="1" applyBorder="1" applyAlignment="1">
      <alignment horizontal="center"/>
    </xf>
    <xf numFmtId="164" fontId="22" fillId="7" borderId="7" xfId="0" applyNumberFormat="1" applyFont="1" applyFill="1" applyBorder="1"/>
    <xf numFmtId="2" fontId="0" fillId="0" borderId="0" xfId="0" applyNumberFormat="1"/>
    <xf numFmtId="4" fontId="22" fillId="7" borderId="5" xfId="0" applyNumberFormat="1" applyFont="1" applyFill="1" applyBorder="1" applyAlignment="1">
      <alignment horizontal="center" vertical="center"/>
    </xf>
    <xf numFmtId="164" fontId="22" fillId="7" borderId="5" xfId="0" applyNumberFormat="1" applyFont="1" applyFill="1" applyBorder="1" applyAlignment="1">
      <alignment horizontal="center" vertical="center"/>
    </xf>
    <xf numFmtId="4" fontId="3" fillId="7" borderId="5" xfId="0" applyNumberFormat="1" applyFont="1" applyFill="1" applyBorder="1" applyAlignment="1">
      <alignment horizontal="right"/>
    </xf>
    <xf numFmtId="0" fontId="28" fillId="8" borderId="29" xfId="0" applyFont="1" applyFill="1" applyBorder="1" applyAlignment="1">
      <alignment horizontal="center" vertical="center"/>
    </xf>
    <xf numFmtId="0" fontId="28" fillId="8" borderId="30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28" fillId="8" borderId="30" xfId="0" applyFont="1" applyFill="1" applyBorder="1" applyAlignment="1">
      <alignment horizontal="center" vertical="center" wrapText="1"/>
    </xf>
    <xf numFmtId="0" fontId="28" fillId="8" borderId="31" xfId="0" applyFont="1" applyFill="1" applyBorder="1" applyAlignment="1">
      <alignment horizontal="center" vertical="center" wrapText="1"/>
    </xf>
    <xf numFmtId="164" fontId="22" fillId="0" borderId="5" xfId="0" applyNumberFormat="1" applyFont="1" applyBorder="1"/>
    <xf numFmtId="164" fontId="22" fillId="0" borderId="16" xfId="0" applyNumberFormat="1" applyFont="1" applyBorder="1"/>
    <xf numFmtId="164" fontId="22" fillId="0" borderId="1" xfId="0" applyNumberFormat="1" applyFont="1" applyBorder="1" applyAlignment="1">
      <alignment horizontal="right"/>
    </xf>
    <xf numFmtId="164" fontId="22" fillId="7" borderId="5" xfId="0" applyNumberFormat="1" applyFont="1" applyFill="1" applyBorder="1" applyAlignment="1">
      <alignment horizontal="right" wrapText="1"/>
    </xf>
    <xf numFmtId="2" fontId="22" fillId="0" borderId="5" xfId="0" applyNumberFormat="1" applyFont="1" applyBorder="1" applyAlignment="1">
      <alignment wrapText="1"/>
    </xf>
    <xf numFmtId="164" fontId="22" fillId="7" borderId="1" xfId="0" applyNumberFormat="1" applyFont="1" applyFill="1" applyBorder="1" applyAlignment="1">
      <alignment horizontal="right"/>
    </xf>
    <xf numFmtId="164" fontId="22" fillId="7" borderId="5" xfId="0" applyNumberFormat="1" applyFont="1" applyFill="1" applyBorder="1" applyAlignment="1">
      <alignment horizontal="right"/>
    </xf>
    <xf numFmtId="4" fontId="3" fillId="7" borderId="5" xfId="0" applyNumberFormat="1" applyFont="1" applyFill="1" applyBorder="1" applyAlignment="1">
      <alignment wrapText="1"/>
    </xf>
    <xf numFmtId="164" fontId="22" fillId="7" borderId="5" xfId="0" applyNumberFormat="1" applyFont="1" applyFill="1" applyBorder="1"/>
    <xf numFmtId="0" fontId="22" fillId="7" borderId="10" xfId="2" applyFont="1" applyFill="1" applyBorder="1" applyAlignment="1">
      <alignment wrapText="1"/>
    </xf>
    <xf numFmtId="4" fontId="3" fillId="7" borderId="5" xfId="0" applyNumberFormat="1" applyFont="1" applyFill="1" applyBorder="1" applyAlignment="1">
      <alignment horizontal="right" wrapText="1"/>
    </xf>
    <xf numFmtId="0" fontId="22" fillId="0" borderId="23" xfId="2" applyFont="1" applyBorder="1" applyAlignment="1">
      <alignment wrapText="1"/>
    </xf>
    <xf numFmtId="0" fontId="22" fillId="0" borderId="0" xfId="0" applyFont="1"/>
    <xf numFmtId="0" fontId="22" fillId="0" borderId="23" xfId="3" applyFont="1" applyBorder="1" applyAlignment="1">
      <alignment wrapText="1"/>
    </xf>
    <xf numFmtId="0" fontId="3" fillId="0" borderId="10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22" fillId="0" borderId="10" xfId="2" applyFont="1" applyBorder="1" applyAlignment="1">
      <alignment wrapText="1"/>
    </xf>
    <xf numFmtId="4" fontId="22" fillId="7" borderId="5" xfId="0" applyNumberFormat="1" applyFont="1" applyFill="1" applyBorder="1" applyAlignment="1">
      <alignment horizontal="right" wrapText="1"/>
    </xf>
    <xf numFmtId="0" fontId="3" fillId="0" borderId="12" xfId="2" applyFont="1" applyBorder="1" applyAlignment="1">
      <alignment horizontal="left" vertical="top" wrapText="1"/>
    </xf>
    <xf numFmtId="0" fontId="22" fillId="0" borderId="14" xfId="0" applyFont="1" applyBorder="1" applyAlignment="1">
      <alignment wrapText="1"/>
    </xf>
    <xf numFmtId="4" fontId="22" fillId="7" borderId="14" xfId="0" applyNumberFormat="1" applyFont="1" applyFill="1" applyBorder="1" applyAlignment="1">
      <alignment horizontal="right" wrapText="1"/>
    </xf>
    <xf numFmtId="164" fontId="22" fillId="7" borderId="14" xfId="0" applyNumberFormat="1" applyFont="1" applyFill="1" applyBorder="1" applyAlignment="1">
      <alignment horizontal="right" wrapText="1"/>
    </xf>
    <xf numFmtId="164" fontId="22" fillId="0" borderId="14" xfId="0" applyNumberFormat="1" applyFont="1" applyBorder="1"/>
    <xf numFmtId="164" fontId="22" fillId="7" borderId="14" xfId="0" applyNumberFormat="1" applyFont="1" applyFill="1" applyBorder="1"/>
    <xf numFmtId="164" fontId="22" fillId="0" borderId="13" xfId="0" applyNumberFormat="1" applyFont="1" applyBorder="1"/>
    <xf numFmtId="0" fontId="1" fillId="0" borderId="5" xfId="2" applyFont="1" applyBorder="1" applyAlignment="1">
      <alignment horizontal="left" vertical="top" wrapText="1"/>
    </xf>
    <xf numFmtId="164" fontId="29" fillId="0" borderId="52" xfId="0" applyNumberFormat="1" applyFont="1" applyBorder="1" applyAlignment="1">
      <alignment horizontal="right"/>
    </xf>
    <xf numFmtId="164" fontId="29" fillId="0" borderId="48" xfId="0" applyNumberFormat="1" applyFont="1" applyBorder="1" applyAlignment="1">
      <alignment horizontal="right"/>
    </xf>
    <xf numFmtId="0" fontId="1" fillId="0" borderId="20" xfId="0" applyFont="1" applyBorder="1" applyAlignment="1">
      <alignment horizontal="left" vertical="top" wrapText="1"/>
    </xf>
    <xf numFmtId="0" fontId="1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center"/>
    </xf>
    <xf numFmtId="0" fontId="9" fillId="0" borderId="20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1" fillId="0" borderId="50" xfId="0" applyFont="1" applyBorder="1" applyAlignment="1">
      <alignment horizontal="left" vertical="top" wrapText="1"/>
    </xf>
    <xf numFmtId="0" fontId="17" fillId="4" borderId="7" xfId="0" applyFont="1" applyFill="1" applyBorder="1" applyAlignment="1">
      <alignment vertical="top" wrapText="1"/>
    </xf>
    <xf numFmtId="0" fontId="17" fillId="4" borderId="8" xfId="0" applyFont="1" applyFill="1" applyBorder="1" applyAlignment="1">
      <alignment vertical="top" wrapText="1"/>
    </xf>
    <xf numFmtId="0" fontId="17" fillId="4" borderId="9" xfId="0" applyFont="1" applyFill="1" applyBorder="1" applyAlignment="1">
      <alignment vertical="top" wrapText="1"/>
    </xf>
    <xf numFmtId="0" fontId="6" fillId="5" borderId="5" xfId="0" applyFont="1" applyFill="1" applyBorder="1" applyAlignment="1">
      <alignment horizontal="left" vertical="top" wrapText="1"/>
    </xf>
    <xf numFmtId="0" fontId="17" fillId="4" borderId="5" xfId="0" applyFont="1" applyFill="1" applyBorder="1" applyAlignment="1">
      <alignment vertical="top" wrapText="1"/>
    </xf>
    <xf numFmtId="0" fontId="18" fillId="3" borderId="47" xfId="0" applyFont="1" applyFill="1" applyBorder="1" applyAlignment="1">
      <alignment horizontal="left" vertical="top" wrapText="1"/>
    </xf>
    <xf numFmtId="0" fontId="18" fillId="3" borderId="19" xfId="0" applyFont="1" applyFill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6" fillId="0" borderId="19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26" fillId="6" borderId="43" xfId="0" applyFont="1" applyFill="1" applyBorder="1" applyAlignment="1">
      <alignment horizontal="left" wrapText="1"/>
    </xf>
    <xf numFmtId="0" fontId="26" fillId="6" borderId="44" xfId="0" applyFont="1" applyFill="1" applyBorder="1" applyAlignment="1">
      <alignment horizontal="left" wrapText="1"/>
    </xf>
    <xf numFmtId="0" fontId="26" fillId="6" borderId="45" xfId="0" applyFont="1" applyFill="1" applyBorder="1" applyAlignment="1">
      <alignment horizontal="left" wrapText="1"/>
    </xf>
    <xf numFmtId="0" fontId="26" fillId="6" borderId="41" xfId="0" applyFont="1" applyFill="1" applyBorder="1" applyAlignment="1">
      <alignment horizontal="left" wrapText="1"/>
    </xf>
    <xf numFmtId="0" fontId="26" fillId="6" borderId="3" xfId="0" applyFont="1" applyFill="1" applyBorder="1" applyAlignment="1">
      <alignment horizontal="left" wrapText="1"/>
    </xf>
    <xf numFmtId="0" fontId="26" fillId="6" borderId="42" xfId="0" applyFont="1" applyFill="1" applyBorder="1" applyAlignment="1">
      <alignment horizontal="left" wrapText="1"/>
    </xf>
    <xf numFmtId="0" fontId="9" fillId="0" borderId="21" xfId="0" applyFont="1" applyBorder="1" applyAlignment="1">
      <alignment horizontal="left" vertical="top" wrapText="1"/>
    </xf>
    <xf numFmtId="0" fontId="9" fillId="0" borderId="22" xfId="0" applyFont="1" applyBorder="1" applyAlignment="1">
      <alignment horizontal="left" vertical="top" wrapText="1"/>
    </xf>
    <xf numFmtId="0" fontId="16" fillId="0" borderId="0" xfId="0" applyFont="1" applyAlignment="1">
      <alignment horizontal="center" vertical="top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29" fillId="0" borderId="51" xfId="0" applyFont="1" applyBorder="1" applyAlignment="1">
      <alignment horizontal="right"/>
    </xf>
    <xf numFmtId="0" fontId="29" fillId="0" borderId="52" xfId="0" applyFont="1" applyBorder="1" applyAlignment="1">
      <alignment horizontal="right"/>
    </xf>
    <xf numFmtId="164" fontId="0" fillId="0" borderId="0" xfId="0" applyNumberFormat="1" applyAlignment="1">
      <alignment horizontal="left" vertical="top"/>
    </xf>
    <xf numFmtId="164" fontId="0" fillId="7" borderId="0" xfId="0" applyNumberFormat="1" applyFill="1"/>
    <xf numFmtId="2" fontId="0" fillId="7" borderId="0" xfId="0" applyNumberFormat="1" applyFill="1"/>
    <xf numFmtId="164" fontId="22" fillId="7" borderId="5" xfId="0" applyNumberFormat="1" applyFont="1" applyFill="1" applyBorder="1" applyAlignment="1">
      <alignment wrapText="1"/>
    </xf>
    <xf numFmtId="44" fontId="22" fillId="7" borderId="5" xfId="1" applyFont="1" applyFill="1" applyBorder="1" applyAlignment="1">
      <alignment horizontal="right" wrapText="1"/>
    </xf>
    <xf numFmtId="44" fontId="22" fillId="7" borderId="16" xfId="1" applyFont="1" applyFill="1" applyBorder="1" applyAlignment="1">
      <alignment horizontal="right" wrapText="1"/>
    </xf>
    <xf numFmtId="44" fontId="22" fillId="7" borderId="13" xfId="1" applyFont="1" applyFill="1" applyBorder="1" applyAlignment="1">
      <alignment horizontal="right" wrapText="1"/>
    </xf>
  </cellXfs>
  <cellStyles count="4">
    <cellStyle name="Денежный" xfId="1" builtinId="4"/>
    <cellStyle name="Обычный" xfId="0" builtinId="0"/>
    <cellStyle name="Обычный 3" xfId="2" xr:uid="{0DD5D442-AFDD-48DC-AC89-8E7316F0E033}"/>
    <cellStyle name="Обычный 4" xfId="3" xr:uid="{274A25F2-19E9-4041-BCB8-DE4DA5F911B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2"/>
  <sheetViews>
    <sheetView tabSelected="1" view="pageBreakPreview" topLeftCell="A22" zoomScale="85" zoomScaleNormal="55" zoomScaleSheetLayoutView="85" workbookViewId="0">
      <selection activeCell="E8" sqref="E8:E10"/>
    </sheetView>
  </sheetViews>
  <sheetFormatPr defaultRowHeight="13.15" x14ac:dyDescent="0.4"/>
  <cols>
    <col min="1" max="1" width="86.5" customWidth="1"/>
    <col min="2" max="2" width="9.85546875" customWidth="1"/>
    <col min="3" max="3" width="17.140625" customWidth="1"/>
    <col min="4" max="4" width="25.35546875" customWidth="1"/>
    <col min="5" max="5" width="26.85546875" customWidth="1"/>
    <col min="6" max="6" width="2.640625" customWidth="1"/>
  </cols>
  <sheetData>
    <row r="1" spans="1:6" ht="15.4" x14ac:dyDescent="0.4">
      <c r="A1" s="28"/>
      <c r="B1" s="28"/>
      <c r="C1" s="28"/>
      <c r="D1" s="28"/>
      <c r="E1" s="27" t="s">
        <v>86</v>
      </c>
    </row>
    <row r="2" spans="1:6" ht="15.4" x14ac:dyDescent="0.4">
      <c r="A2" s="28"/>
      <c r="B2" s="28"/>
      <c r="C2" s="28"/>
      <c r="D2" s="28"/>
      <c r="E2" s="27" t="s">
        <v>102</v>
      </c>
    </row>
    <row r="3" spans="1:6" ht="15.4" x14ac:dyDescent="0.4">
      <c r="A3" s="28"/>
      <c r="B3" s="28"/>
      <c r="C3" s="28"/>
      <c r="D3" s="28"/>
      <c r="E3" s="28"/>
    </row>
    <row r="4" spans="1:6" ht="15" x14ac:dyDescent="0.4">
      <c r="A4" s="226" t="s">
        <v>87</v>
      </c>
      <c r="B4" s="226"/>
      <c r="C4" s="226"/>
      <c r="D4" s="226"/>
      <c r="E4" s="226"/>
    </row>
    <row r="5" spans="1:6" ht="13.5" thickBot="1" x14ac:dyDescent="0.45"/>
    <row r="6" spans="1:6" ht="45.2" customHeight="1" thickBot="1" x14ac:dyDescent="0.45">
      <c r="A6" s="73" t="s">
        <v>0</v>
      </c>
      <c r="B6" s="74" t="s">
        <v>88</v>
      </c>
      <c r="C6" s="75" t="s">
        <v>1</v>
      </c>
      <c r="D6" s="76" t="s">
        <v>2</v>
      </c>
      <c r="E6" s="77" t="s">
        <v>3</v>
      </c>
    </row>
    <row r="7" spans="1:6" ht="24.95" customHeight="1" x14ac:dyDescent="0.4">
      <c r="A7" s="199" t="s">
        <v>143</v>
      </c>
      <c r="B7" s="200"/>
      <c r="C7" s="200"/>
      <c r="D7" s="200"/>
      <c r="E7" s="201"/>
    </row>
    <row r="8" spans="1:6" s="39" customFormat="1" ht="15" x14ac:dyDescent="0.4">
      <c r="A8" s="158" t="s">
        <v>145</v>
      </c>
      <c r="B8" s="49" t="s">
        <v>106</v>
      </c>
      <c r="C8" s="159">
        <f>(11*48*2)+(2*18*2)</f>
        <v>1128</v>
      </c>
      <c r="D8" s="160">
        <v>80</v>
      </c>
      <c r="E8" s="161">
        <f t="shared" ref="E8" si="0">C8*D8</f>
        <v>90240</v>
      </c>
      <c r="F8" s="40"/>
    </row>
    <row r="9" spans="1:6" s="39" customFormat="1" ht="15" x14ac:dyDescent="0.4">
      <c r="A9" s="158" t="s">
        <v>146</v>
      </c>
      <c r="B9" s="49" t="s">
        <v>106</v>
      </c>
      <c r="C9" s="159">
        <f>(11.2*48*2)+(1.2*18*2)</f>
        <v>1118.3999999999999</v>
      </c>
      <c r="D9" s="160">
        <v>100</v>
      </c>
      <c r="E9" s="161">
        <f t="shared" ref="E9:E10" si="1">C9*D9</f>
        <v>111839.99999999999</v>
      </c>
      <c r="F9" s="40"/>
    </row>
    <row r="10" spans="1:6" s="39" customFormat="1" ht="15.4" thickBot="1" x14ac:dyDescent="0.45">
      <c r="A10" s="158" t="s">
        <v>144</v>
      </c>
      <c r="B10" s="49" t="s">
        <v>106</v>
      </c>
      <c r="C10" s="159">
        <f>(9*48*2)+(0.86*18*2)</f>
        <v>894.96</v>
      </c>
      <c r="D10" s="160">
        <v>180</v>
      </c>
      <c r="E10" s="161">
        <f t="shared" si="1"/>
        <v>161092.80000000002</v>
      </c>
      <c r="F10" s="40"/>
    </row>
    <row r="11" spans="1:6" s="39" customFormat="1" ht="15.4" thickBot="1" x14ac:dyDescent="0.45">
      <c r="A11" s="68" t="s">
        <v>8</v>
      </c>
      <c r="B11" s="6"/>
      <c r="C11" s="6"/>
      <c r="D11" s="61"/>
      <c r="E11" s="62">
        <f>SUM(E8:E10)</f>
        <v>363172.80000000005</v>
      </c>
      <c r="F11" s="40"/>
    </row>
    <row r="12" spans="1:6" ht="17.25" customHeight="1" thickBot="1" x14ac:dyDescent="0.45">
      <c r="A12" s="70" t="s">
        <v>9</v>
      </c>
      <c r="B12" s="71"/>
      <c r="C12" s="71"/>
      <c r="D12" s="72"/>
      <c r="E12" s="63">
        <f>E11</f>
        <v>363172.80000000005</v>
      </c>
    </row>
    <row r="13" spans="1:6" ht="24.95" customHeight="1" x14ac:dyDescent="0.4">
      <c r="A13" s="199" t="s">
        <v>4</v>
      </c>
      <c r="B13" s="200"/>
      <c r="C13" s="200"/>
      <c r="D13" s="200"/>
      <c r="E13" s="201"/>
    </row>
    <row r="14" spans="1:6" ht="21.2" customHeight="1" x14ac:dyDescent="0.4">
      <c r="A14" s="64" t="s">
        <v>5</v>
      </c>
      <c r="B14" s="2"/>
      <c r="C14" s="2"/>
      <c r="D14" s="2"/>
      <c r="E14" s="65"/>
    </row>
    <row r="15" spans="1:6" ht="17.25" customHeight="1" thickBot="1" x14ac:dyDescent="0.45">
      <c r="A15" s="90" t="s">
        <v>133</v>
      </c>
      <c r="B15" s="3" t="s">
        <v>6</v>
      </c>
      <c r="C15" s="33">
        <f>C10</f>
        <v>894.96</v>
      </c>
      <c r="D15" s="4" t="s">
        <v>7</v>
      </c>
      <c r="E15" s="67">
        <f>D15*C15</f>
        <v>125294.40000000001</v>
      </c>
    </row>
    <row r="16" spans="1:6" ht="17.25" customHeight="1" thickBot="1" x14ac:dyDescent="0.45">
      <c r="A16" s="68" t="s">
        <v>8</v>
      </c>
      <c r="B16" s="6"/>
      <c r="C16" s="6"/>
      <c r="D16" s="61"/>
      <c r="E16" s="62">
        <f>E15</f>
        <v>125294.40000000001</v>
      </c>
    </row>
    <row r="17" spans="1:5" ht="17.25" customHeight="1" thickBot="1" x14ac:dyDescent="0.45">
      <c r="A17" s="70" t="s">
        <v>9</v>
      </c>
      <c r="B17" s="71"/>
      <c r="C17" s="71"/>
      <c r="D17" s="72"/>
      <c r="E17" s="63">
        <f>E16</f>
        <v>125294.40000000001</v>
      </c>
    </row>
    <row r="18" spans="1:5" ht="35.25" customHeight="1" x14ac:dyDescent="0.4">
      <c r="A18" s="199" t="s">
        <v>10</v>
      </c>
      <c r="B18" s="200"/>
      <c r="C18" s="200"/>
      <c r="D18" s="200"/>
      <c r="E18" s="201"/>
    </row>
    <row r="19" spans="1:5" ht="15.75" customHeight="1" x14ac:dyDescent="0.4">
      <c r="A19" s="64" t="s">
        <v>5</v>
      </c>
      <c r="B19" s="2"/>
      <c r="C19" s="2"/>
      <c r="D19" s="2"/>
      <c r="E19" s="65"/>
    </row>
    <row r="20" spans="1:5" ht="19.7" customHeight="1" x14ac:dyDescent="0.4">
      <c r="A20" s="86" t="s">
        <v>11</v>
      </c>
      <c r="B20" s="7" t="s">
        <v>12</v>
      </c>
      <c r="C20" s="8">
        <f>18+9+9</f>
        <v>36</v>
      </c>
      <c r="D20" s="9" t="s">
        <v>13</v>
      </c>
      <c r="E20" s="87">
        <f>D20*C20</f>
        <v>720</v>
      </c>
    </row>
    <row r="21" spans="1:5" ht="34.5" customHeight="1" x14ac:dyDescent="0.4">
      <c r="A21" s="66" t="s">
        <v>14</v>
      </c>
      <c r="B21" s="10" t="s">
        <v>12</v>
      </c>
      <c r="C21" s="11">
        <v>0</v>
      </c>
      <c r="D21" s="12" t="s">
        <v>15</v>
      </c>
      <c r="E21" s="87">
        <f>D21*C21</f>
        <v>0</v>
      </c>
    </row>
    <row r="22" spans="1:5" ht="17.25" customHeight="1" thickBot="1" x14ac:dyDescent="0.45">
      <c r="A22" s="66" t="s">
        <v>16</v>
      </c>
      <c r="B22" s="3" t="s">
        <v>12</v>
      </c>
      <c r="C22" s="13">
        <v>0</v>
      </c>
      <c r="D22" s="4" t="s">
        <v>15</v>
      </c>
      <c r="E22" s="67">
        <f>D22*C22</f>
        <v>0</v>
      </c>
    </row>
    <row r="23" spans="1:5" ht="17.25" customHeight="1" thickBot="1" x14ac:dyDescent="0.45">
      <c r="A23" s="68" t="s">
        <v>8</v>
      </c>
      <c r="B23" s="6"/>
      <c r="C23" s="6"/>
      <c r="D23" s="61"/>
      <c r="E23" s="62">
        <f>SUM(E20:E22)</f>
        <v>720</v>
      </c>
    </row>
    <row r="24" spans="1:5" s="39" customFormat="1" ht="15" x14ac:dyDescent="0.4">
      <c r="A24" s="34" t="s">
        <v>105</v>
      </c>
      <c r="B24" s="35"/>
      <c r="C24" s="36"/>
      <c r="D24" s="46"/>
      <c r="E24" s="47"/>
    </row>
    <row r="25" spans="1:5" s="123" customFormat="1" ht="16.5" customHeight="1" x14ac:dyDescent="0.4">
      <c r="A25" s="119" t="s">
        <v>111</v>
      </c>
      <c r="B25" s="120" t="s">
        <v>137</v>
      </c>
      <c r="C25" s="53">
        <f>C20</f>
        <v>36</v>
      </c>
      <c r="D25" s="236">
        <v>1300</v>
      </c>
      <c r="E25" s="237">
        <f>C25*D25</f>
        <v>46800</v>
      </c>
    </row>
    <row r="26" spans="1:5" s="123" customFormat="1" ht="16.5" customHeight="1" x14ac:dyDescent="0.4">
      <c r="A26" s="119" t="s">
        <v>112</v>
      </c>
      <c r="B26" s="120" t="s">
        <v>137</v>
      </c>
      <c r="C26" s="53">
        <f>C21</f>
        <v>0</v>
      </c>
      <c r="D26" s="236">
        <v>1300</v>
      </c>
      <c r="E26" s="237">
        <f>C26*D26</f>
        <v>0</v>
      </c>
    </row>
    <row r="27" spans="1:5" s="123" customFormat="1" ht="16.5" customHeight="1" x14ac:dyDescent="0.4">
      <c r="A27" s="119" t="s">
        <v>113</v>
      </c>
      <c r="B27" s="120" t="s">
        <v>137</v>
      </c>
      <c r="C27" s="53">
        <f>C22</f>
        <v>0</v>
      </c>
      <c r="D27" s="236">
        <v>1300</v>
      </c>
      <c r="E27" s="237">
        <f>C27*D27</f>
        <v>0</v>
      </c>
    </row>
    <row r="28" spans="1:5" s="123" customFormat="1" ht="16.5" customHeight="1" thickBot="1" x14ac:dyDescent="0.45">
      <c r="A28" s="119" t="s">
        <v>114</v>
      </c>
      <c r="B28" s="120" t="s">
        <v>107</v>
      </c>
      <c r="C28" s="120">
        <f>(C25+C26+C27)*2*5</f>
        <v>360</v>
      </c>
      <c r="D28" s="236">
        <v>5</v>
      </c>
      <c r="E28" s="238">
        <f>C28*D28</f>
        <v>1800</v>
      </c>
    </row>
    <row r="29" spans="1:5" s="39" customFormat="1" ht="18.75" customHeight="1" thickBot="1" x14ac:dyDescent="0.45">
      <c r="A29" s="78" t="s">
        <v>108</v>
      </c>
      <c r="B29" s="79"/>
      <c r="C29" s="80"/>
      <c r="D29" s="81"/>
      <c r="E29" s="82">
        <f>SUM(E25:E28)</f>
        <v>48600</v>
      </c>
    </row>
    <row r="30" spans="1:5" ht="17.25" customHeight="1" thickBot="1" x14ac:dyDescent="0.45">
      <c r="A30" s="83" t="s">
        <v>9</v>
      </c>
      <c r="B30" s="84"/>
      <c r="C30" s="84"/>
      <c r="D30" s="84"/>
      <c r="E30" s="85">
        <f>E23+E29</f>
        <v>49320</v>
      </c>
    </row>
    <row r="31" spans="1:5" ht="31.5" customHeight="1" x14ac:dyDescent="0.4">
      <c r="A31" s="199" t="s">
        <v>17</v>
      </c>
      <c r="B31" s="200"/>
      <c r="C31" s="200"/>
      <c r="D31" s="200"/>
      <c r="E31" s="201"/>
    </row>
    <row r="32" spans="1:5" ht="15.75" customHeight="1" x14ac:dyDescent="0.4">
      <c r="A32" s="64" t="s">
        <v>5</v>
      </c>
      <c r="B32" s="2"/>
      <c r="C32" s="2"/>
      <c r="D32" s="2"/>
      <c r="E32" s="65"/>
    </row>
    <row r="33" spans="1:5" ht="17.25" customHeight="1" thickBot="1" x14ac:dyDescent="0.45">
      <c r="A33" s="90" t="s">
        <v>103</v>
      </c>
      <c r="B33" s="3" t="s">
        <v>12</v>
      </c>
      <c r="C33" s="13">
        <v>0</v>
      </c>
      <c r="D33" s="4" t="s">
        <v>18</v>
      </c>
      <c r="E33" s="91">
        <f>C33*D33</f>
        <v>0</v>
      </c>
    </row>
    <row r="34" spans="1:5" ht="17.25" customHeight="1" thickBot="1" x14ac:dyDescent="0.45">
      <c r="A34" s="68" t="s">
        <v>8</v>
      </c>
      <c r="B34" s="6"/>
      <c r="C34" s="6"/>
      <c r="D34" s="61"/>
      <c r="E34" s="89">
        <f>E33</f>
        <v>0</v>
      </c>
    </row>
    <row r="35" spans="1:5" ht="17.25" customHeight="1" thickBot="1" x14ac:dyDescent="0.45">
      <c r="A35" s="70" t="s">
        <v>9</v>
      </c>
      <c r="B35" s="71"/>
      <c r="C35" s="71"/>
      <c r="D35" s="72"/>
      <c r="E35" s="88">
        <f>E34</f>
        <v>0</v>
      </c>
    </row>
    <row r="36" spans="1:5" ht="31.5" customHeight="1" x14ac:dyDescent="0.4">
      <c r="A36" s="199" t="s">
        <v>19</v>
      </c>
      <c r="B36" s="200"/>
      <c r="C36" s="200"/>
      <c r="D36" s="200"/>
      <c r="E36" s="201"/>
    </row>
    <row r="37" spans="1:5" ht="15.75" customHeight="1" x14ac:dyDescent="0.4">
      <c r="A37" s="64" t="s">
        <v>5</v>
      </c>
      <c r="B37" s="2"/>
      <c r="C37" s="2"/>
      <c r="D37" s="2"/>
      <c r="E37" s="65"/>
    </row>
    <row r="38" spans="1:5" ht="34.5" customHeight="1" thickBot="1" x14ac:dyDescent="0.45">
      <c r="A38" s="66" t="s">
        <v>20</v>
      </c>
      <c r="B38" s="10" t="s">
        <v>21</v>
      </c>
      <c r="C38" s="14">
        <v>0</v>
      </c>
      <c r="D38" s="12" t="s">
        <v>22</v>
      </c>
      <c r="E38" s="92">
        <f>D38*C38</f>
        <v>0</v>
      </c>
    </row>
    <row r="39" spans="1:5" ht="17.25" customHeight="1" thickBot="1" x14ac:dyDescent="0.45">
      <c r="A39" s="68" t="s">
        <v>8</v>
      </c>
      <c r="B39" s="6"/>
      <c r="C39" s="6"/>
      <c r="D39" s="61"/>
      <c r="E39" s="89">
        <f>E38</f>
        <v>0</v>
      </c>
    </row>
    <row r="40" spans="1:5" s="39" customFormat="1" ht="15" x14ac:dyDescent="0.4">
      <c r="A40" s="34" t="s">
        <v>105</v>
      </c>
      <c r="B40" s="35"/>
      <c r="C40" s="36"/>
      <c r="D40" s="46"/>
      <c r="E40" s="47"/>
    </row>
    <row r="41" spans="1:5" ht="15" x14ac:dyDescent="0.4">
      <c r="A41" s="55" t="s">
        <v>115</v>
      </c>
      <c r="B41" s="56" t="s">
        <v>107</v>
      </c>
      <c r="C41" s="57">
        <f>C38</f>
        <v>0</v>
      </c>
      <c r="D41" s="58">
        <v>1300</v>
      </c>
      <c r="E41" s="59">
        <f t="shared" ref="E41:E42" si="2">D41*C41</f>
        <v>0</v>
      </c>
    </row>
    <row r="42" spans="1:5" ht="15.4" thickBot="1" x14ac:dyDescent="0.45">
      <c r="A42" s="54" t="s">
        <v>114</v>
      </c>
      <c r="B42" s="35" t="s">
        <v>107</v>
      </c>
      <c r="C42" s="35">
        <f>C38*4</f>
        <v>0</v>
      </c>
      <c r="D42" s="58">
        <f>D28</f>
        <v>5</v>
      </c>
      <c r="E42" s="59">
        <f t="shared" si="2"/>
        <v>0</v>
      </c>
    </row>
    <row r="43" spans="1:5" ht="15.4" thickBot="1" x14ac:dyDescent="0.45">
      <c r="A43" s="41" t="s">
        <v>108</v>
      </c>
      <c r="B43" s="42"/>
      <c r="C43" s="43"/>
      <c r="D43" s="44"/>
      <c r="E43" s="93">
        <f>SUM(E41:E42)</f>
        <v>0</v>
      </c>
    </row>
    <row r="44" spans="1:5" ht="17.25" customHeight="1" thickBot="1" x14ac:dyDescent="0.45">
      <c r="A44" s="70" t="s">
        <v>9</v>
      </c>
      <c r="B44" s="71"/>
      <c r="C44" s="71"/>
      <c r="D44" s="72"/>
      <c r="E44" s="88">
        <f>E39+E43</f>
        <v>0</v>
      </c>
    </row>
    <row r="45" spans="1:5" ht="30" customHeight="1" x14ac:dyDescent="0.4">
      <c r="A45" s="199" t="s">
        <v>23</v>
      </c>
      <c r="B45" s="200"/>
      <c r="C45" s="200"/>
      <c r="D45" s="200"/>
      <c r="E45" s="201"/>
    </row>
    <row r="46" spans="1:5" ht="15.75" customHeight="1" x14ac:dyDescent="0.4">
      <c r="A46" s="64" t="s">
        <v>5</v>
      </c>
      <c r="B46" s="2"/>
      <c r="C46" s="2"/>
      <c r="D46" s="2"/>
      <c r="E46" s="65"/>
    </row>
    <row r="47" spans="1:5" ht="34.5" customHeight="1" thickBot="1" x14ac:dyDescent="0.45">
      <c r="A47" s="66" t="s">
        <v>24</v>
      </c>
      <c r="B47" s="10" t="s">
        <v>12</v>
      </c>
      <c r="C47" s="11">
        <f>C20</f>
        <v>36</v>
      </c>
      <c r="D47" s="12" t="s">
        <v>15</v>
      </c>
      <c r="E47" s="92">
        <f>D47*C47</f>
        <v>360</v>
      </c>
    </row>
    <row r="48" spans="1:5" ht="17.25" customHeight="1" thickBot="1" x14ac:dyDescent="0.45">
      <c r="A48" s="68" t="s">
        <v>8</v>
      </c>
      <c r="B48" s="6"/>
      <c r="C48" s="6"/>
      <c r="D48" s="61"/>
      <c r="E48" s="89">
        <f>E47</f>
        <v>360</v>
      </c>
    </row>
    <row r="49" spans="1:6" s="39" customFormat="1" ht="15" x14ac:dyDescent="0.4">
      <c r="A49" s="34" t="s">
        <v>105</v>
      </c>
      <c r="B49" s="35"/>
      <c r="C49" s="36"/>
      <c r="D49" s="46"/>
      <c r="E49" s="47"/>
    </row>
    <row r="50" spans="1:6" s="123" customFormat="1" ht="15.4" thickBot="1" x14ac:dyDescent="0.45">
      <c r="A50" s="48" t="s">
        <v>109</v>
      </c>
      <c r="B50" s="49" t="s">
        <v>110</v>
      </c>
      <c r="C50" s="50">
        <f>C47*0.3*0.1*1.1</f>
        <v>1.1879999999999999</v>
      </c>
      <c r="D50" s="235">
        <v>3700</v>
      </c>
      <c r="E50" s="155">
        <f>C50*D50</f>
        <v>4395.5999999999995</v>
      </c>
    </row>
    <row r="51" spans="1:6" s="39" customFormat="1" ht="18.75" customHeight="1" thickBot="1" x14ac:dyDescent="0.45">
      <c r="A51" s="41" t="s">
        <v>108</v>
      </c>
      <c r="B51" s="42"/>
      <c r="C51" s="43"/>
      <c r="D51" s="44"/>
      <c r="E51" s="45">
        <f>SUM(E50)</f>
        <v>4395.5999999999995</v>
      </c>
    </row>
    <row r="52" spans="1:6" ht="17.25" customHeight="1" thickBot="1" x14ac:dyDescent="0.45">
      <c r="A52" s="70" t="s">
        <v>9</v>
      </c>
      <c r="B52" s="71"/>
      <c r="C52" s="71"/>
      <c r="D52" s="72"/>
      <c r="E52" s="88">
        <f>E48+E51</f>
        <v>4755.5999999999995</v>
      </c>
    </row>
    <row r="53" spans="1:6" ht="30.2" customHeight="1" x14ac:dyDescent="0.4">
      <c r="A53" s="199" t="s">
        <v>25</v>
      </c>
      <c r="B53" s="200"/>
      <c r="C53" s="200"/>
      <c r="D53" s="200"/>
      <c r="E53" s="201"/>
    </row>
    <row r="54" spans="1:6" ht="15.75" customHeight="1" x14ac:dyDescent="0.4">
      <c r="A54" s="64" t="s">
        <v>5</v>
      </c>
      <c r="B54" s="2"/>
      <c r="C54" s="2"/>
      <c r="D54" s="2"/>
      <c r="E54" s="65"/>
    </row>
    <row r="55" spans="1:6" ht="34.5" customHeight="1" thickBot="1" x14ac:dyDescent="0.45">
      <c r="A55" s="66" t="s">
        <v>26</v>
      </c>
      <c r="B55" s="10" t="s">
        <v>6</v>
      </c>
      <c r="C55" s="11">
        <f>C15</f>
        <v>894.96</v>
      </c>
      <c r="D55" s="12" t="s">
        <v>27</v>
      </c>
      <c r="E55" s="92">
        <f>D55*C55</f>
        <v>35798.400000000001</v>
      </c>
    </row>
    <row r="56" spans="1:6" ht="17.25" customHeight="1" thickBot="1" x14ac:dyDescent="0.45">
      <c r="A56" s="68" t="s">
        <v>8</v>
      </c>
      <c r="B56" s="6"/>
      <c r="C56" s="6"/>
      <c r="D56" s="61"/>
      <c r="E56" s="89">
        <f>E55</f>
        <v>35798.400000000001</v>
      </c>
    </row>
    <row r="57" spans="1:6" s="39" customFormat="1" ht="15" x14ac:dyDescent="0.4">
      <c r="A57" s="34" t="s">
        <v>105</v>
      </c>
      <c r="B57" s="35"/>
      <c r="C57" s="36"/>
      <c r="D57" s="37"/>
      <c r="E57" s="38"/>
    </row>
    <row r="58" spans="1:6" s="123" customFormat="1" ht="16.5" customHeight="1" x14ac:dyDescent="0.4">
      <c r="A58" s="113" t="s">
        <v>116</v>
      </c>
      <c r="B58" s="151" t="s">
        <v>106</v>
      </c>
      <c r="C58" s="96">
        <f>C55*1.15</f>
        <v>1029.204</v>
      </c>
      <c r="D58" s="154">
        <v>19.899999999999999</v>
      </c>
      <c r="E58" s="156">
        <f>C58*D58</f>
        <v>20481.159599999999</v>
      </c>
      <c r="F58" s="233"/>
    </row>
    <row r="59" spans="1:6" s="123" customFormat="1" ht="16.5" customHeight="1" thickBot="1" x14ac:dyDescent="0.45">
      <c r="A59" s="113" t="s">
        <v>117</v>
      </c>
      <c r="B59" s="151" t="s">
        <v>107</v>
      </c>
      <c r="C59" s="98">
        <v>12</v>
      </c>
      <c r="D59" s="154">
        <v>308</v>
      </c>
      <c r="E59" s="156">
        <f>C59*D59</f>
        <v>3696</v>
      </c>
      <c r="F59" s="233"/>
    </row>
    <row r="60" spans="1:6" s="39" customFormat="1" ht="18.75" customHeight="1" thickBot="1" x14ac:dyDescent="0.45">
      <c r="A60" s="41" t="s">
        <v>108</v>
      </c>
      <c r="B60" s="42"/>
      <c r="C60" s="43"/>
      <c r="D60" s="99"/>
      <c r="E60" s="100">
        <f>E58+E59</f>
        <v>24177.159599999999</v>
      </c>
      <c r="F60" s="40"/>
    </row>
    <row r="61" spans="1:6" ht="17.25" customHeight="1" thickBot="1" x14ac:dyDescent="0.45">
      <c r="A61" s="101" t="s">
        <v>9</v>
      </c>
      <c r="B61" s="102"/>
      <c r="C61" s="102"/>
      <c r="D61" s="103"/>
      <c r="E61" s="88">
        <f>E56+E60</f>
        <v>59975.559600000001</v>
      </c>
    </row>
    <row r="62" spans="1:6" ht="17.25" customHeight="1" x14ac:dyDescent="0.4">
      <c r="A62" s="203" t="s">
        <v>140</v>
      </c>
      <c r="B62" s="200"/>
      <c r="C62" s="200"/>
      <c r="D62" s="200"/>
      <c r="E62" s="201"/>
    </row>
    <row r="63" spans="1:6" ht="16.350000000000001" customHeight="1" x14ac:dyDescent="0.4">
      <c r="A63" s="64" t="s">
        <v>5</v>
      </c>
      <c r="B63" s="2"/>
      <c r="C63" s="2"/>
      <c r="D63" s="2"/>
      <c r="E63" s="65"/>
    </row>
    <row r="64" spans="1:6" ht="34.5" customHeight="1" thickBot="1" x14ac:dyDescent="0.45">
      <c r="A64" s="66" t="s">
        <v>28</v>
      </c>
      <c r="B64" s="10" t="s">
        <v>6</v>
      </c>
      <c r="C64" s="11">
        <v>0</v>
      </c>
      <c r="D64" s="12" t="s">
        <v>29</v>
      </c>
      <c r="E64" s="92">
        <f>D64*C64</f>
        <v>0</v>
      </c>
    </row>
    <row r="65" spans="1:8" ht="17.25" customHeight="1" thickBot="1" x14ac:dyDescent="0.45">
      <c r="A65" s="68" t="s">
        <v>8</v>
      </c>
      <c r="B65" s="6"/>
      <c r="C65" s="6"/>
      <c r="D65" s="61"/>
      <c r="E65" s="89">
        <f>E64</f>
        <v>0</v>
      </c>
    </row>
    <row r="66" spans="1:8" ht="17.25" customHeight="1" thickBot="1" x14ac:dyDescent="0.45">
      <c r="A66" s="70" t="s">
        <v>9</v>
      </c>
      <c r="B66" s="71"/>
      <c r="C66" s="71"/>
      <c r="D66" s="72"/>
      <c r="E66" s="88">
        <f>E65</f>
        <v>0</v>
      </c>
    </row>
    <row r="67" spans="1:8" ht="21.2" customHeight="1" x14ac:dyDescent="0.4">
      <c r="A67" s="199" t="s">
        <v>30</v>
      </c>
      <c r="B67" s="200"/>
      <c r="C67" s="200"/>
      <c r="D67" s="200"/>
      <c r="E67" s="201"/>
    </row>
    <row r="68" spans="1:8" ht="16.350000000000001" customHeight="1" x14ac:dyDescent="0.4">
      <c r="A68" s="64" t="s">
        <v>5</v>
      </c>
      <c r="B68" s="2"/>
      <c r="C68" s="2"/>
      <c r="D68" s="2"/>
      <c r="E68" s="65"/>
    </row>
    <row r="69" spans="1:8" ht="34.5" customHeight="1" thickBot="1" x14ac:dyDescent="0.45">
      <c r="A69" s="66" t="s">
        <v>31</v>
      </c>
      <c r="B69" s="10" t="s">
        <v>6</v>
      </c>
      <c r="C69" s="11">
        <f>C9</f>
        <v>1118.3999999999999</v>
      </c>
      <c r="D69" s="12" t="s">
        <v>32</v>
      </c>
      <c r="E69" s="92">
        <f>D69*C69</f>
        <v>184535.99999999997</v>
      </c>
    </row>
    <row r="70" spans="1:8" ht="17.25" customHeight="1" thickBot="1" x14ac:dyDescent="0.45">
      <c r="A70" s="68" t="s">
        <v>8</v>
      </c>
      <c r="B70" s="6"/>
      <c r="C70" s="6"/>
      <c r="D70" s="61"/>
      <c r="E70" s="89">
        <f>E69</f>
        <v>184535.99999999997</v>
      </c>
    </row>
    <row r="71" spans="1:8" s="39" customFormat="1" ht="15" x14ac:dyDescent="0.4">
      <c r="A71" s="34" t="s">
        <v>105</v>
      </c>
      <c r="B71" s="35"/>
      <c r="C71" s="36"/>
      <c r="D71" s="37"/>
      <c r="E71" s="38"/>
    </row>
    <row r="72" spans="1:8" s="123" customFormat="1" ht="15" x14ac:dyDescent="0.4">
      <c r="A72" s="119" t="s">
        <v>118</v>
      </c>
      <c r="B72" s="150" t="s">
        <v>110</v>
      </c>
      <c r="C72" s="96">
        <f>C69*1.03*0.05</f>
        <v>57.5976</v>
      </c>
      <c r="D72" s="154">
        <v>16112</v>
      </c>
      <c r="E72" s="156">
        <f>C72*D72</f>
        <v>928012.53119999997</v>
      </c>
      <c r="G72" s="233" t="s">
        <v>147</v>
      </c>
    </row>
    <row r="73" spans="1:8" s="123" customFormat="1" ht="16.5" customHeight="1" x14ac:dyDescent="0.4">
      <c r="A73" s="113" t="s">
        <v>134</v>
      </c>
      <c r="B73" s="151" t="s">
        <v>107</v>
      </c>
      <c r="C73" s="96">
        <f>C69*5</f>
        <v>5591.9999999999991</v>
      </c>
      <c r="D73" s="154">
        <v>14</v>
      </c>
      <c r="E73" s="156">
        <f>C73*D73</f>
        <v>78287.999999999985</v>
      </c>
      <c r="G73" s="234">
        <f>18*48*1.03*0.05+3</f>
        <v>47.496000000000009</v>
      </c>
      <c r="H73" s="233" t="s">
        <v>110</v>
      </c>
    </row>
    <row r="74" spans="1:8" s="123" customFormat="1" ht="16.5" customHeight="1" thickBot="1" x14ac:dyDescent="0.45">
      <c r="A74" s="113" t="s">
        <v>135</v>
      </c>
      <c r="B74" s="151" t="s">
        <v>107</v>
      </c>
      <c r="C74" s="96">
        <f>C69*5</f>
        <v>5591.9999999999991</v>
      </c>
      <c r="D74" s="154">
        <v>13</v>
      </c>
      <c r="E74" s="156">
        <f>C74*D74</f>
        <v>72695.999999999985</v>
      </c>
      <c r="G74" s="233"/>
      <c r="H74" s="233"/>
    </row>
    <row r="75" spans="1:8" s="39" customFormat="1" ht="15.4" thickBot="1" x14ac:dyDescent="0.45">
      <c r="A75" s="41" t="s">
        <v>108</v>
      </c>
      <c r="B75" s="42"/>
      <c r="C75" s="43"/>
      <c r="D75" s="99"/>
      <c r="E75" s="100">
        <f>SUM(E72:E74)</f>
        <v>1078996.5311999999</v>
      </c>
    </row>
    <row r="76" spans="1:8" ht="17.25" customHeight="1" thickBot="1" x14ac:dyDescent="0.45">
      <c r="A76" s="70" t="s">
        <v>9</v>
      </c>
      <c r="B76" s="71"/>
      <c r="C76" s="71"/>
      <c r="D76" s="72"/>
      <c r="E76" s="88">
        <f>E70+E75</f>
        <v>1263532.5311999999</v>
      </c>
    </row>
    <row r="77" spans="1:8" ht="17.25" customHeight="1" x14ac:dyDescent="0.4">
      <c r="A77" s="199" t="s">
        <v>33</v>
      </c>
      <c r="B77" s="200"/>
      <c r="C77" s="200"/>
      <c r="D77" s="200"/>
      <c r="E77" s="201"/>
    </row>
    <row r="78" spans="1:8" ht="16.350000000000001" customHeight="1" x14ac:dyDescent="0.4">
      <c r="A78" s="64" t="s">
        <v>5</v>
      </c>
      <c r="B78" s="2"/>
      <c r="C78" s="2"/>
      <c r="D78" s="2"/>
      <c r="E78" s="65"/>
    </row>
    <row r="79" spans="1:8" ht="47.25" customHeight="1" thickBot="1" x14ac:dyDescent="0.45">
      <c r="A79" s="66" t="s">
        <v>34</v>
      </c>
      <c r="B79" s="10" t="s">
        <v>6</v>
      </c>
      <c r="C79" s="11">
        <f>C8</f>
        <v>1128</v>
      </c>
      <c r="D79" s="12" t="s">
        <v>35</v>
      </c>
      <c r="E79" s="147">
        <f>C79*D79</f>
        <v>214320</v>
      </c>
    </row>
    <row r="80" spans="1:8" ht="17.25" customHeight="1" thickBot="1" x14ac:dyDescent="0.45">
      <c r="A80" s="68" t="s">
        <v>8</v>
      </c>
      <c r="B80" s="6"/>
      <c r="C80" s="6"/>
      <c r="D80" s="61"/>
      <c r="E80" s="148">
        <f>E79</f>
        <v>214320</v>
      </c>
    </row>
    <row r="81" spans="1:8" s="39" customFormat="1" ht="15" x14ac:dyDescent="0.4">
      <c r="A81" s="34" t="s">
        <v>105</v>
      </c>
      <c r="B81" s="35"/>
      <c r="C81" s="36"/>
      <c r="D81" s="37"/>
      <c r="E81" s="38"/>
    </row>
    <row r="82" spans="1:8" s="39" customFormat="1" ht="15" x14ac:dyDescent="0.4">
      <c r="A82" s="54" t="s">
        <v>141</v>
      </c>
      <c r="B82" s="35" t="s">
        <v>106</v>
      </c>
      <c r="C82" s="96">
        <f>C79*1.18</f>
        <v>1331.04</v>
      </c>
      <c r="D82" s="97">
        <v>931</v>
      </c>
      <c r="E82" s="156">
        <f>C82*D82</f>
        <v>1239198.24</v>
      </c>
      <c r="G82" s="40"/>
    </row>
    <row r="83" spans="1:8" s="39" customFormat="1" ht="16.5" customHeight="1" x14ac:dyDescent="0.4">
      <c r="A83" s="113" t="s">
        <v>134</v>
      </c>
      <c r="B83" s="151" t="s">
        <v>107</v>
      </c>
      <c r="C83" s="96">
        <f>C79*5</f>
        <v>5640</v>
      </c>
      <c r="D83" s="154">
        <v>14</v>
      </c>
      <c r="E83" s="156">
        <f>C83*D83</f>
        <v>78960</v>
      </c>
      <c r="G83" s="40"/>
      <c r="H83" s="40"/>
    </row>
    <row r="84" spans="1:8" s="39" customFormat="1" ht="16.5" customHeight="1" x14ac:dyDescent="0.4">
      <c r="A84" s="113" t="s">
        <v>135</v>
      </c>
      <c r="B84" s="151" t="s">
        <v>107</v>
      </c>
      <c r="C84" s="96">
        <f>C83</f>
        <v>5640</v>
      </c>
      <c r="D84" s="154">
        <f>D74</f>
        <v>13</v>
      </c>
      <c r="E84" s="156">
        <f>C84*D84</f>
        <v>73320</v>
      </c>
      <c r="G84" s="40"/>
      <c r="H84" s="40"/>
    </row>
    <row r="85" spans="1:8" s="39" customFormat="1" ht="15.4" thickBot="1" x14ac:dyDescent="0.45">
      <c r="A85" s="94" t="s">
        <v>119</v>
      </c>
      <c r="B85" s="107" t="s">
        <v>107</v>
      </c>
      <c r="C85" s="108">
        <v>5</v>
      </c>
      <c r="D85" s="37">
        <v>5162</v>
      </c>
      <c r="E85" s="110">
        <f>C85*D85</f>
        <v>25810</v>
      </c>
    </row>
    <row r="86" spans="1:8" s="39" customFormat="1" ht="15.4" thickBot="1" x14ac:dyDescent="0.45">
      <c r="A86" s="41" t="s">
        <v>108</v>
      </c>
      <c r="B86" s="42"/>
      <c r="C86" s="43"/>
      <c r="D86" s="99"/>
      <c r="E86" s="100">
        <f>SUM(E82:E85)</f>
        <v>1417288.24</v>
      </c>
    </row>
    <row r="87" spans="1:8" ht="17.25" customHeight="1" thickBot="1" x14ac:dyDescent="0.45">
      <c r="A87" s="70" t="s">
        <v>9</v>
      </c>
      <c r="B87" s="71"/>
      <c r="C87" s="71"/>
      <c r="D87" s="72"/>
      <c r="E87" s="109">
        <f>E80+E86</f>
        <v>1631608.24</v>
      </c>
    </row>
    <row r="88" spans="1:8" ht="17.25" customHeight="1" x14ac:dyDescent="0.4">
      <c r="A88" s="227" t="s">
        <v>36</v>
      </c>
      <c r="B88" s="228"/>
      <c r="C88" s="228"/>
      <c r="D88" s="228"/>
      <c r="E88" s="229"/>
    </row>
    <row r="89" spans="1:8" ht="16.350000000000001" customHeight="1" x14ac:dyDescent="0.4">
      <c r="A89" s="1" t="s">
        <v>5</v>
      </c>
      <c r="B89" s="2"/>
      <c r="C89" s="2"/>
      <c r="D89" s="2"/>
      <c r="E89" s="2"/>
    </row>
    <row r="90" spans="1:8" ht="27.95" customHeight="1" thickBot="1" x14ac:dyDescent="0.45">
      <c r="A90" s="3" t="s">
        <v>37</v>
      </c>
      <c r="B90" s="3" t="s">
        <v>12</v>
      </c>
      <c r="C90" s="15">
        <f>9+18+9</f>
        <v>36</v>
      </c>
      <c r="D90" s="4" t="s">
        <v>38</v>
      </c>
      <c r="E90" s="146">
        <f>D90*C90</f>
        <v>13500</v>
      </c>
    </row>
    <row r="91" spans="1:8" ht="20.100000000000001" customHeight="1" thickBot="1" x14ac:dyDescent="0.45">
      <c r="A91" s="5" t="s">
        <v>8</v>
      </c>
      <c r="B91" s="6"/>
      <c r="C91" s="6"/>
      <c r="D91" s="61"/>
      <c r="E91" s="89">
        <f>E90</f>
        <v>13500</v>
      </c>
    </row>
    <row r="92" spans="1:8" s="39" customFormat="1" ht="15" x14ac:dyDescent="0.4">
      <c r="A92" s="34" t="s">
        <v>105</v>
      </c>
      <c r="B92" s="35"/>
      <c r="C92" s="111"/>
      <c r="D92" s="51"/>
      <c r="E92" s="112"/>
    </row>
    <row r="93" spans="1:8" s="39" customFormat="1" ht="15" x14ac:dyDescent="0.4">
      <c r="A93" s="113" t="s">
        <v>142</v>
      </c>
      <c r="B93" s="114" t="s">
        <v>106</v>
      </c>
      <c r="C93" s="108">
        <f>C90*1.2*1.18</f>
        <v>50.975999999999992</v>
      </c>
      <c r="D93" s="51">
        <f>D82</f>
        <v>931</v>
      </c>
      <c r="E93" s="155">
        <f>C93*D93</f>
        <v>47458.655999999995</v>
      </c>
      <c r="G93" s="40"/>
    </row>
    <row r="94" spans="1:8" s="39" customFormat="1" ht="15.4" thickBot="1" x14ac:dyDescent="0.45">
      <c r="A94" s="54" t="s">
        <v>126</v>
      </c>
      <c r="B94" s="107" t="s">
        <v>106</v>
      </c>
      <c r="C94" s="108">
        <v>7</v>
      </c>
      <c r="D94" s="51">
        <v>1350</v>
      </c>
      <c r="E94" s="52">
        <f>C94*D94</f>
        <v>9450</v>
      </c>
      <c r="G94" s="40"/>
    </row>
    <row r="95" spans="1:8" s="39" customFormat="1" ht="15.4" thickBot="1" x14ac:dyDescent="0.45">
      <c r="A95" s="41" t="s">
        <v>108</v>
      </c>
      <c r="B95" s="42"/>
      <c r="C95" s="43"/>
      <c r="D95" s="99"/>
      <c r="E95" s="100">
        <f>SUM(E93:E94)</f>
        <v>56908.655999999995</v>
      </c>
    </row>
    <row r="96" spans="1:8" ht="17.25" customHeight="1" thickBot="1" x14ac:dyDescent="0.45">
      <c r="A96" s="104" t="s">
        <v>9</v>
      </c>
      <c r="B96" s="105"/>
      <c r="C96" s="105"/>
      <c r="D96" s="106"/>
      <c r="E96" s="88">
        <f>E91+E95</f>
        <v>70408.655999999988</v>
      </c>
    </row>
    <row r="97" spans="1:7" ht="17.25" customHeight="1" x14ac:dyDescent="0.4">
      <c r="A97" s="199" t="s">
        <v>39</v>
      </c>
      <c r="B97" s="200"/>
      <c r="C97" s="200"/>
      <c r="D97" s="200"/>
      <c r="E97" s="201"/>
    </row>
    <row r="98" spans="1:7" ht="16.5" customHeight="1" x14ac:dyDescent="0.4">
      <c r="A98" s="64" t="s">
        <v>5</v>
      </c>
      <c r="B98" s="2"/>
      <c r="C98" s="2"/>
      <c r="D98" s="2"/>
      <c r="E98" s="65"/>
    </row>
    <row r="99" spans="1:7" ht="17.25" customHeight="1" thickBot="1" x14ac:dyDescent="0.45">
      <c r="A99" s="66" t="s">
        <v>40</v>
      </c>
      <c r="B99" s="3" t="s">
        <v>12</v>
      </c>
      <c r="C99" s="15">
        <f>C90*2</f>
        <v>72</v>
      </c>
      <c r="D99" s="4" t="s">
        <v>27</v>
      </c>
      <c r="E99" s="91">
        <f>C99*D99</f>
        <v>2880</v>
      </c>
    </row>
    <row r="100" spans="1:7" ht="17.25" customHeight="1" thickBot="1" x14ac:dyDescent="0.45">
      <c r="A100" s="68" t="s">
        <v>8</v>
      </c>
      <c r="B100" s="6"/>
      <c r="C100" s="6"/>
      <c r="D100" s="61"/>
      <c r="E100" s="89">
        <f>E99</f>
        <v>2880</v>
      </c>
    </row>
    <row r="101" spans="1:7" s="39" customFormat="1" ht="15" x14ac:dyDescent="0.4">
      <c r="A101" s="34" t="s">
        <v>105</v>
      </c>
      <c r="B101" s="35"/>
      <c r="C101" s="111"/>
      <c r="D101" s="51"/>
      <c r="E101" s="112"/>
    </row>
    <row r="102" spans="1:7" s="39" customFormat="1" ht="15" x14ac:dyDescent="0.4">
      <c r="A102" s="94" t="s">
        <v>120</v>
      </c>
      <c r="B102" s="107" t="s">
        <v>121</v>
      </c>
      <c r="C102" s="108">
        <f>C90</f>
        <v>36</v>
      </c>
      <c r="D102" s="51">
        <v>116</v>
      </c>
      <c r="E102" s="157">
        <f>C102*D102</f>
        <v>4176</v>
      </c>
      <c r="G102" s="40"/>
    </row>
    <row r="103" spans="1:7" s="39" customFormat="1" ht="15" x14ac:dyDescent="0.4">
      <c r="A103" s="94" t="s">
        <v>122</v>
      </c>
      <c r="B103" s="107" t="s">
        <v>121</v>
      </c>
      <c r="C103" s="108">
        <f>C90</f>
        <v>36</v>
      </c>
      <c r="D103" s="51">
        <v>150</v>
      </c>
      <c r="E103" s="52">
        <f>C103*D103</f>
        <v>5400</v>
      </c>
      <c r="G103" s="40"/>
    </row>
    <row r="104" spans="1:7" s="39" customFormat="1" ht="15" x14ac:dyDescent="0.4">
      <c r="A104" s="115" t="s">
        <v>123</v>
      </c>
      <c r="B104" s="116" t="s">
        <v>107</v>
      </c>
      <c r="C104" s="111">
        <f>C90*5*2</f>
        <v>360</v>
      </c>
      <c r="D104" s="51">
        <v>8</v>
      </c>
      <c r="E104" s="52">
        <f>C104*D104</f>
        <v>2880</v>
      </c>
      <c r="G104" s="40"/>
    </row>
    <row r="105" spans="1:7" s="39" customFormat="1" ht="15.4" thickBot="1" x14ac:dyDescent="0.45">
      <c r="A105" s="94" t="s">
        <v>124</v>
      </c>
      <c r="B105" s="107" t="s">
        <v>107</v>
      </c>
      <c r="C105" s="117">
        <f>C90/4</f>
        <v>9</v>
      </c>
      <c r="D105" s="51">
        <v>440</v>
      </c>
      <c r="E105" s="52">
        <f>C105*D105</f>
        <v>3960</v>
      </c>
      <c r="G105" s="40"/>
    </row>
    <row r="106" spans="1:7" s="39" customFormat="1" ht="15.4" thickBot="1" x14ac:dyDescent="0.45">
      <c r="A106" s="41" t="s">
        <v>108</v>
      </c>
      <c r="B106" s="42"/>
      <c r="C106" s="43"/>
      <c r="D106" s="99"/>
      <c r="E106" s="100">
        <f>SUM(E102:E105)</f>
        <v>16416</v>
      </c>
    </row>
    <row r="107" spans="1:7" ht="15.4" thickBot="1" x14ac:dyDescent="0.45">
      <c r="A107" s="101" t="s">
        <v>9</v>
      </c>
      <c r="B107" s="102"/>
      <c r="C107" s="102"/>
      <c r="D107" s="103"/>
      <c r="E107" s="88">
        <f>E100+E106</f>
        <v>19296</v>
      </c>
    </row>
    <row r="108" spans="1:7" ht="15" x14ac:dyDescent="0.4">
      <c r="A108" s="199" t="s">
        <v>41</v>
      </c>
      <c r="B108" s="200"/>
      <c r="C108" s="200"/>
      <c r="D108" s="200"/>
      <c r="E108" s="201"/>
    </row>
    <row r="109" spans="1:7" ht="13.9" x14ac:dyDescent="0.4">
      <c r="A109" s="64" t="s">
        <v>5</v>
      </c>
      <c r="B109" s="2"/>
      <c r="C109" s="2"/>
      <c r="D109" s="2"/>
      <c r="E109" s="65"/>
    </row>
    <row r="110" spans="1:7" ht="15.4" thickBot="1" x14ac:dyDescent="0.45">
      <c r="A110" s="66" t="s">
        <v>42</v>
      </c>
      <c r="B110" s="3" t="s">
        <v>21</v>
      </c>
      <c r="C110" s="13">
        <v>6</v>
      </c>
      <c r="D110" s="4" t="s">
        <v>43</v>
      </c>
      <c r="E110" s="91">
        <f>C110*D110</f>
        <v>17520</v>
      </c>
    </row>
    <row r="111" spans="1:7" ht="15.4" thickBot="1" x14ac:dyDescent="0.45">
      <c r="A111" s="68" t="s">
        <v>8</v>
      </c>
      <c r="B111" s="6"/>
      <c r="C111" s="6"/>
      <c r="D111" s="61"/>
      <c r="E111" s="89">
        <f>E110</f>
        <v>17520</v>
      </c>
    </row>
    <row r="112" spans="1:7" s="39" customFormat="1" ht="15" x14ac:dyDescent="0.4">
      <c r="A112" s="34" t="s">
        <v>105</v>
      </c>
      <c r="B112" s="35"/>
      <c r="C112" s="36"/>
      <c r="D112" s="46"/>
      <c r="E112" s="47"/>
    </row>
    <row r="113" spans="1:6" s="123" customFormat="1" ht="15" x14ac:dyDescent="0.4">
      <c r="A113" s="119" t="s">
        <v>136</v>
      </c>
      <c r="B113" s="120" t="s">
        <v>110</v>
      </c>
      <c r="C113" s="121">
        <f>(1.2*0.6*0.05*1.05*(C110))</f>
        <v>0.2268</v>
      </c>
      <c r="D113" s="152">
        <v>16112</v>
      </c>
      <c r="E113" s="122">
        <f t="shared" ref="E113:E119" si="3">C113*D113</f>
        <v>3654.2015999999999</v>
      </c>
      <c r="F113" s="39"/>
    </row>
    <row r="114" spans="1:6" s="39" customFormat="1" ht="16.5" customHeight="1" x14ac:dyDescent="0.4">
      <c r="A114" s="54" t="s">
        <v>125</v>
      </c>
      <c r="B114" s="35" t="s">
        <v>106</v>
      </c>
      <c r="C114" s="35">
        <f>C110*1</f>
        <v>6</v>
      </c>
      <c r="D114" s="153">
        <f>D82</f>
        <v>931</v>
      </c>
      <c r="E114" s="122">
        <f t="shared" si="3"/>
        <v>5586</v>
      </c>
    </row>
    <row r="115" spans="1:6" s="39" customFormat="1" ht="16.5" customHeight="1" x14ac:dyDescent="0.4">
      <c r="A115" s="54" t="s">
        <v>126</v>
      </c>
      <c r="B115" s="35" t="s">
        <v>106</v>
      </c>
      <c r="C115" s="35">
        <f>0.2*C110*8</f>
        <v>9.6000000000000014</v>
      </c>
      <c r="D115" s="153">
        <f>D94</f>
        <v>1350</v>
      </c>
      <c r="E115" s="122">
        <f t="shared" si="3"/>
        <v>12960.000000000002</v>
      </c>
    </row>
    <row r="116" spans="1:6" s="39" customFormat="1" ht="16.5" customHeight="1" x14ac:dyDescent="0.4">
      <c r="A116" s="54" t="s">
        <v>127</v>
      </c>
      <c r="B116" s="35" t="s">
        <v>107</v>
      </c>
      <c r="C116" s="35">
        <f>20*C110</f>
        <v>120</v>
      </c>
      <c r="D116" s="124">
        <v>7.5</v>
      </c>
      <c r="E116" s="122">
        <f t="shared" si="3"/>
        <v>900</v>
      </c>
    </row>
    <row r="117" spans="1:6" s="39" customFormat="1" ht="16.5" customHeight="1" x14ac:dyDescent="0.4">
      <c r="A117" s="54" t="s">
        <v>128</v>
      </c>
      <c r="B117" s="35" t="s">
        <v>129</v>
      </c>
      <c r="C117" s="35">
        <f>1.5*C110</f>
        <v>9</v>
      </c>
      <c r="D117" s="153">
        <f>D103</f>
        <v>150</v>
      </c>
      <c r="E117" s="122">
        <f t="shared" si="3"/>
        <v>1350</v>
      </c>
    </row>
    <row r="118" spans="1:6" s="39" customFormat="1" ht="16.5" customHeight="1" x14ac:dyDescent="0.4">
      <c r="A118" s="54" t="s">
        <v>131</v>
      </c>
      <c r="B118" s="35" t="s">
        <v>107</v>
      </c>
      <c r="C118" s="120">
        <f>20*C110</f>
        <v>120</v>
      </c>
      <c r="D118" s="153">
        <f>D104</f>
        <v>8</v>
      </c>
      <c r="E118" s="122">
        <f t="shared" si="3"/>
        <v>960</v>
      </c>
    </row>
    <row r="119" spans="1:6" s="39" customFormat="1" ht="16.5" customHeight="1" thickBot="1" x14ac:dyDescent="0.45">
      <c r="A119" s="54" t="s">
        <v>130</v>
      </c>
      <c r="B119" s="35" t="s">
        <v>107</v>
      </c>
      <c r="C119" s="125">
        <f>C117/4</f>
        <v>2.25</v>
      </c>
      <c r="D119" s="153">
        <f>D105</f>
        <v>440</v>
      </c>
      <c r="E119" s="126">
        <f t="shared" si="3"/>
        <v>990</v>
      </c>
    </row>
    <row r="120" spans="1:6" s="39" customFormat="1" ht="18.75" customHeight="1" thickBot="1" x14ac:dyDescent="0.45">
      <c r="A120" s="41" t="s">
        <v>108</v>
      </c>
      <c r="B120" s="42"/>
      <c r="C120" s="43"/>
      <c r="D120" s="44"/>
      <c r="E120" s="60">
        <f>SUM(E113:E119)</f>
        <v>26400.2016</v>
      </c>
    </row>
    <row r="121" spans="1:6" ht="15.4" thickBot="1" x14ac:dyDescent="0.45">
      <c r="A121" s="70" t="s">
        <v>9</v>
      </c>
      <c r="B121" s="71"/>
      <c r="C121" s="71"/>
      <c r="D121" s="72"/>
      <c r="E121" s="88">
        <f>E111+E120</f>
        <v>43920.2016</v>
      </c>
    </row>
    <row r="122" spans="1:6" ht="15" x14ac:dyDescent="0.4">
      <c r="A122" s="199" t="s">
        <v>44</v>
      </c>
      <c r="B122" s="200"/>
      <c r="C122" s="200"/>
      <c r="D122" s="200"/>
      <c r="E122" s="201"/>
    </row>
    <row r="123" spans="1:6" ht="13.9" x14ac:dyDescent="0.4">
      <c r="A123" s="64" t="s">
        <v>5</v>
      </c>
      <c r="B123" s="2"/>
      <c r="C123" s="2"/>
      <c r="D123" s="2"/>
      <c r="E123" s="65"/>
    </row>
    <row r="124" spans="1:6" ht="15.4" thickBot="1" x14ac:dyDescent="0.45">
      <c r="A124" s="66" t="s">
        <v>45</v>
      </c>
      <c r="B124" s="3" t="s">
        <v>21</v>
      </c>
      <c r="C124" s="13">
        <v>0</v>
      </c>
      <c r="D124" s="4" t="s">
        <v>46</v>
      </c>
      <c r="E124" s="91">
        <f>C124*D124</f>
        <v>0</v>
      </c>
    </row>
    <row r="125" spans="1:6" ht="15.4" thickBot="1" x14ac:dyDescent="0.45">
      <c r="A125" s="68" t="s">
        <v>8</v>
      </c>
      <c r="B125" s="6"/>
      <c r="C125" s="6"/>
      <c r="D125" s="61"/>
      <c r="E125" s="89">
        <f>E124</f>
        <v>0</v>
      </c>
    </row>
    <row r="126" spans="1:6" ht="15.4" thickBot="1" x14ac:dyDescent="0.45">
      <c r="A126" s="70" t="s">
        <v>9</v>
      </c>
      <c r="B126" s="71"/>
      <c r="C126" s="71"/>
      <c r="D126" s="72"/>
      <c r="E126" s="88">
        <f>E125</f>
        <v>0</v>
      </c>
    </row>
    <row r="127" spans="1:6" ht="15" x14ac:dyDescent="0.4">
      <c r="A127" s="199" t="s">
        <v>47</v>
      </c>
      <c r="B127" s="200"/>
      <c r="C127" s="200"/>
      <c r="D127" s="200"/>
      <c r="E127" s="201"/>
    </row>
    <row r="128" spans="1:6" ht="13.9" x14ac:dyDescent="0.4">
      <c r="A128" s="64" t="s">
        <v>5</v>
      </c>
      <c r="B128" s="2"/>
      <c r="C128" s="2"/>
      <c r="D128" s="2"/>
      <c r="E128" s="65"/>
    </row>
    <row r="129" spans="1:5" ht="15.4" thickBot="1" x14ac:dyDescent="0.45">
      <c r="A129" s="66" t="s">
        <v>48</v>
      </c>
      <c r="B129" s="3" t="s">
        <v>21</v>
      </c>
      <c r="C129" s="13">
        <v>0</v>
      </c>
      <c r="D129" s="24">
        <v>3330</v>
      </c>
      <c r="E129" s="149">
        <f>C129*D129</f>
        <v>0</v>
      </c>
    </row>
    <row r="130" spans="1:5" ht="15.4" thickBot="1" x14ac:dyDescent="0.45">
      <c r="A130" s="68" t="s">
        <v>8</v>
      </c>
      <c r="B130" s="6"/>
      <c r="C130" s="6"/>
      <c r="D130" s="61"/>
      <c r="E130" s="144">
        <f>E129</f>
        <v>0</v>
      </c>
    </row>
    <row r="131" spans="1:5" ht="15.4" thickBot="1" x14ac:dyDescent="0.45">
      <c r="A131" s="70" t="s">
        <v>9</v>
      </c>
      <c r="B131" s="71"/>
      <c r="C131" s="71"/>
      <c r="D131" s="72"/>
      <c r="E131" s="145">
        <f>E130</f>
        <v>0</v>
      </c>
    </row>
    <row r="132" spans="1:5" ht="15" x14ac:dyDescent="0.4">
      <c r="A132" s="199" t="s">
        <v>49</v>
      </c>
      <c r="B132" s="200"/>
      <c r="C132" s="200"/>
      <c r="D132" s="200"/>
      <c r="E132" s="201"/>
    </row>
    <row r="133" spans="1:5" ht="13.9" x14ac:dyDescent="0.4">
      <c r="A133" s="64" t="s">
        <v>5</v>
      </c>
      <c r="B133" s="2"/>
      <c r="C133" s="2"/>
      <c r="D133" s="2"/>
      <c r="E133" s="65"/>
    </row>
    <row r="134" spans="1:5" ht="15.4" thickBot="1" x14ac:dyDescent="0.45">
      <c r="A134" s="66" t="s">
        <v>50</v>
      </c>
      <c r="B134" s="3" t="s">
        <v>21</v>
      </c>
      <c r="C134" s="13">
        <v>0</v>
      </c>
      <c r="D134" s="4" t="s">
        <v>51</v>
      </c>
      <c r="E134" s="91">
        <f>C134*D134</f>
        <v>0</v>
      </c>
    </row>
    <row r="135" spans="1:5" ht="15.4" thickBot="1" x14ac:dyDescent="0.45">
      <c r="A135" s="68" t="s">
        <v>8</v>
      </c>
      <c r="B135" s="6"/>
      <c r="C135" s="6"/>
      <c r="D135" s="61"/>
      <c r="E135" s="89">
        <f>E134</f>
        <v>0</v>
      </c>
    </row>
    <row r="136" spans="1:5" ht="15.4" thickBot="1" x14ac:dyDescent="0.45">
      <c r="A136" s="70" t="s">
        <v>9</v>
      </c>
      <c r="B136" s="71"/>
      <c r="C136" s="71"/>
      <c r="D136" s="72"/>
      <c r="E136" s="88">
        <f>E135</f>
        <v>0</v>
      </c>
    </row>
    <row r="137" spans="1:5" ht="15" x14ac:dyDescent="0.4">
      <c r="A137" s="199" t="s">
        <v>52</v>
      </c>
      <c r="B137" s="200"/>
      <c r="C137" s="200"/>
      <c r="D137" s="200"/>
      <c r="E137" s="201"/>
    </row>
    <row r="138" spans="1:5" ht="13.9" x14ac:dyDescent="0.4">
      <c r="A138" s="64" t="s">
        <v>5</v>
      </c>
      <c r="B138" s="2"/>
      <c r="C138" s="2"/>
      <c r="D138" s="2"/>
      <c r="E138" s="65"/>
    </row>
    <row r="139" spans="1:5" ht="15.4" thickBot="1" x14ac:dyDescent="0.45">
      <c r="A139" s="66" t="s">
        <v>53</v>
      </c>
      <c r="B139" s="3" t="s">
        <v>21</v>
      </c>
      <c r="C139" s="13">
        <v>0</v>
      </c>
      <c r="D139" s="4" t="s">
        <v>18</v>
      </c>
      <c r="E139" s="91">
        <f>D139*C139</f>
        <v>0</v>
      </c>
    </row>
    <row r="140" spans="1:5" ht="15.4" thickBot="1" x14ac:dyDescent="0.45">
      <c r="A140" s="68" t="s">
        <v>8</v>
      </c>
      <c r="B140" s="6"/>
      <c r="C140" s="6"/>
      <c r="D140" s="61"/>
      <c r="E140" s="89">
        <f>E139</f>
        <v>0</v>
      </c>
    </row>
    <row r="141" spans="1:5" ht="15.4" thickBot="1" x14ac:dyDescent="0.45">
      <c r="A141" s="70" t="s">
        <v>9</v>
      </c>
      <c r="B141" s="71"/>
      <c r="C141" s="71"/>
      <c r="D141" s="72"/>
      <c r="E141" s="88">
        <f>E140</f>
        <v>0</v>
      </c>
    </row>
    <row r="142" spans="1:5" ht="15" x14ac:dyDescent="0.4">
      <c r="A142" s="199" t="s">
        <v>54</v>
      </c>
      <c r="B142" s="200"/>
      <c r="C142" s="200"/>
      <c r="D142" s="200"/>
      <c r="E142" s="201"/>
    </row>
    <row r="143" spans="1:5" ht="13.9" x14ac:dyDescent="0.4">
      <c r="A143" s="64" t="s">
        <v>5</v>
      </c>
      <c r="B143" s="2"/>
      <c r="C143" s="2"/>
      <c r="D143" s="2"/>
      <c r="E143" s="65"/>
    </row>
    <row r="144" spans="1:5" ht="15.4" thickBot="1" x14ac:dyDescent="0.45">
      <c r="A144" s="66" t="s">
        <v>55</v>
      </c>
      <c r="B144" s="3" t="s">
        <v>21</v>
      </c>
      <c r="C144" s="13">
        <v>0</v>
      </c>
      <c r="D144" s="4" t="s">
        <v>43</v>
      </c>
      <c r="E144" s="91">
        <f>C144*D144</f>
        <v>0</v>
      </c>
    </row>
    <row r="145" spans="1:5" ht="15.4" thickBot="1" x14ac:dyDescent="0.45">
      <c r="A145" s="68" t="s">
        <v>8</v>
      </c>
      <c r="B145" s="6"/>
      <c r="C145" s="6"/>
      <c r="D145" s="61"/>
      <c r="E145" s="89">
        <f>E144</f>
        <v>0</v>
      </c>
    </row>
    <row r="146" spans="1:5" ht="15.4" thickBot="1" x14ac:dyDescent="0.45">
      <c r="A146" s="101" t="s">
        <v>9</v>
      </c>
      <c r="B146" s="102"/>
      <c r="C146" s="102"/>
      <c r="D146" s="103"/>
      <c r="E146" s="88">
        <f>E145</f>
        <v>0</v>
      </c>
    </row>
    <row r="147" spans="1:5" ht="15" x14ac:dyDescent="0.4">
      <c r="A147" s="199" t="s">
        <v>56</v>
      </c>
      <c r="B147" s="200"/>
      <c r="C147" s="200"/>
      <c r="D147" s="200"/>
      <c r="E147" s="201"/>
    </row>
    <row r="148" spans="1:5" ht="13.9" x14ac:dyDescent="0.4">
      <c r="A148" s="64" t="s">
        <v>5</v>
      </c>
      <c r="B148" s="2"/>
      <c r="C148" s="2"/>
      <c r="D148" s="2"/>
      <c r="E148" s="65"/>
    </row>
    <row r="149" spans="1:5" ht="15.4" thickBot="1" x14ac:dyDescent="0.45">
      <c r="A149" s="66" t="s">
        <v>57</v>
      </c>
      <c r="B149" s="3" t="s">
        <v>21</v>
      </c>
      <c r="C149" s="13">
        <v>0</v>
      </c>
      <c r="D149" s="4" t="s">
        <v>58</v>
      </c>
      <c r="E149" s="91">
        <f>C149*D149</f>
        <v>0</v>
      </c>
    </row>
    <row r="150" spans="1:5" ht="15.4" thickBot="1" x14ac:dyDescent="0.45">
      <c r="A150" s="68" t="s">
        <v>8</v>
      </c>
      <c r="B150" s="6"/>
      <c r="C150" s="6"/>
      <c r="D150" s="61"/>
      <c r="E150" s="89">
        <f>E149</f>
        <v>0</v>
      </c>
    </row>
    <row r="151" spans="1:5" ht="15.4" thickBot="1" x14ac:dyDescent="0.45">
      <c r="A151" s="70" t="s">
        <v>9</v>
      </c>
      <c r="B151" s="71"/>
      <c r="C151" s="71"/>
      <c r="D151" s="72"/>
      <c r="E151" s="88">
        <f>E150</f>
        <v>0</v>
      </c>
    </row>
    <row r="152" spans="1:5" ht="15" x14ac:dyDescent="0.4">
      <c r="A152" s="199" t="s">
        <v>59</v>
      </c>
      <c r="B152" s="200"/>
      <c r="C152" s="200"/>
      <c r="D152" s="200"/>
      <c r="E152" s="201"/>
    </row>
    <row r="153" spans="1:5" ht="13.9" x14ac:dyDescent="0.4">
      <c r="A153" s="64" t="s">
        <v>5</v>
      </c>
      <c r="B153" s="2"/>
      <c r="C153" s="2"/>
      <c r="D153" s="2"/>
      <c r="E153" s="65"/>
    </row>
    <row r="154" spans="1:5" ht="15.4" thickBot="1" x14ac:dyDescent="0.45">
      <c r="A154" s="66" t="s">
        <v>60</v>
      </c>
      <c r="B154" s="3" t="s">
        <v>21</v>
      </c>
      <c r="C154" s="13">
        <v>0</v>
      </c>
      <c r="D154" s="4" t="s">
        <v>61</v>
      </c>
      <c r="E154" s="91">
        <f>C154*D154</f>
        <v>0</v>
      </c>
    </row>
    <row r="155" spans="1:5" ht="15.4" thickBot="1" x14ac:dyDescent="0.45">
      <c r="A155" s="68" t="s">
        <v>8</v>
      </c>
      <c r="B155" s="6"/>
      <c r="C155" s="6"/>
      <c r="D155" s="61"/>
      <c r="E155" s="89">
        <f>E154</f>
        <v>0</v>
      </c>
    </row>
    <row r="156" spans="1:5" ht="15.4" thickBot="1" x14ac:dyDescent="0.45">
      <c r="A156" s="70" t="s">
        <v>9</v>
      </c>
      <c r="B156" s="71"/>
      <c r="C156" s="71"/>
      <c r="D156" s="72"/>
      <c r="E156" s="88">
        <f>E155</f>
        <v>0</v>
      </c>
    </row>
    <row r="157" spans="1:5" ht="15" x14ac:dyDescent="0.4">
      <c r="A157" s="199" t="s">
        <v>62</v>
      </c>
      <c r="B157" s="200"/>
      <c r="C157" s="200"/>
      <c r="D157" s="200"/>
      <c r="E157" s="201"/>
    </row>
    <row r="158" spans="1:5" ht="13.9" x14ac:dyDescent="0.4">
      <c r="A158" s="64" t="s">
        <v>5</v>
      </c>
      <c r="B158" s="2"/>
      <c r="C158" s="2"/>
      <c r="D158" s="2"/>
      <c r="E158" s="65"/>
    </row>
    <row r="159" spans="1:5" ht="15.4" thickBot="1" x14ac:dyDescent="0.45">
      <c r="A159" s="66" t="s">
        <v>63</v>
      </c>
      <c r="B159" s="3" t="s">
        <v>21</v>
      </c>
      <c r="C159" s="13">
        <v>0</v>
      </c>
      <c r="D159" s="4" t="s">
        <v>64</v>
      </c>
      <c r="E159" s="91">
        <f>C159*D159</f>
        <v>0</v>
      </c>
    </row>
    <row r="160" spans="1:5" ht="15.4" thickBot="1" x14ac:dyDescent="0.45">
      <c r="A160" s="68" t="s">
        <v>8</v>
      </c>
      <c r="B160" s="6"/>
      <c r="C160" s="6"/>
      <c r="D160" s="61"/>
      <c r="E160" s="89">
        <f>E159</f>
        <v>0</v>
      </c>
    </row>
    <row r="161" spans="1:5" ht="15.4" thickBot="1" x14ac:dyDescent="0.45">
      <c r="A161" s="70" t="s">
        <v>9</v>
      </c>
      <c r="B161" s="71"/>
      <c r="C161" s="71"/>
      <c r="D161" s="72"/>
      <c r="E161" s="88">
        <f>E160</f>
        <v>0</v>
      </c>
    </row>
    <row r="162" spans="1:5" ht="15" x14ac:dyDescent="0.4">
      <c r="A162" s="203" t="s">
        <v>101</v>
      </c>
      <c r="B162" s="200"/>
      <c r="C162" s="200"/>
      <c r="D162" s="200"/>
      <c r="E162" s="201"/>
    </row>
    <row r="163" spans="1:5" ht="13.9" x14ac:dyDescent="0.4">
      <c r="A163" s="64" t="s">
        <v>5</v>
      </c>
      <c r="B163" s="2"/>
      <c r="C163" s="2"/>
      <c r="D163" s="2"/>
      <c r="E163" s="65"/>
    </row>
    <row r="164" spans="1:5" ht="30.4" thickBot="1" x14ac:dyDescent="0.45">
      <c r="A164" s="90" t="s">
        <v>101</v>
      </c>
      <c r="B164" s="3" t="s">
        <v>21</v>
      </c>
      <c r="C164" s="13">
        <v>0</v>
      </c>
      <c r="D164" s="4" t="s">
        <v>51</v>
      </c>
      <c r="E164" s="91">
        <f>C164*D164</f>
        <v>0</v>
      </c>
    </row>
    <row r="165" spans="1:5" ht="15.4" thickBot="1" x14ac:dyDescent="0.45">
      <c r="A165" s="68" t="s">
        <v>8</v>
      </c>
      <c r="B165" s="6"/>
      <c r="C165" s="6"/>
      <c r="D165" s="61"/>
      <c r="E165" s="89">
        <f>E164</f>
        <v>0</v>
      </c>
    </row>
    <row r="166" spans="1:5" ht="15.4" thickBot="1" x14ac:dyDescent="0.45">
      <c r="A166" s="70" t="s">
        <v>9</v>
      </c>
      <c r="B166" s="71"/>
      <c r="C166" s="71"/>
      <c r="D166" s="72"/>
      <c r="E166" s="88">
        <f>E165</f>
        <v>0</v>
      </c>
    </row>
    <row r="167" spans="1:5" ht="47.25" customHeight="1" x14ac:dyDescent="0.4">
      <c r="A167" s="203" t="s">
        <v>100</v>
      </c>
      <c r="B167" s="224"/>
      <c r="C167" s="224"/>
      <c r="D167" s="224"/>
      <c r="E167" s="225"/>
    </row>
    <row r="168" spans="1:5" ht="13.9" x14ac:dyDescent="0.4">
      <c r="A168" s="64" t="s">
        <v>5</v>
      </c>
      <c r="B168" s="2"/>
      <c r="C168" s="2"/>
      <c r="D168" s="2"/>
      <c r="E168" s="65"/>
    </row>
    <row r="169" spans="1:5" ht="30.4" thickBot="1" x14ac:dyDescent="0.45">
      <c r="A169" s="90" t="s">
        <v>100</v>
      </c>
      <c r="B169" s="3" t="s">
        <v>21</v>
      </c>
      <c r="C169" s="13">
        <v>0</v>
      </c>
      <c r="D169" s="4" t="s">
        <v>61</v>
      </c>
      <c r="E169" s="91">
        <f>C169*D169</f>
        <v>0</v>
      </c>
    </row>
    <row r="170" spans="1:5" ht="15.4" thickBot="1" x14ac:dyDescent="0.45">
      <c r="A170" s="68" t="s">
        <v>8</v>
      </c>
      <c r="B170" s="6"/>
      <c r="C170" s="6"/>
      <c r="D170" s="61"/>
      <c r="E170" s="89">
        <f>E169</f>
        <v>0</v>
      </c>
    </row>
    <row r="171" spans="1:5" ht="15.4" thickBot="1" x14ac:dyDescent="0.45">
      <c r="A171" s="70" t="s">
        <v>9</v>
      </c>
      <c r="B171" s="71"/>
      <c r="C171" s="71"/>
      <c r="D171" s="72"/>
      <c r="E171" s="88">
        <f>E170</f>
        <v>0</v>
      </c>
    </row>
    <row r="172" spans="1:5" ht="28.5" customHeight="1" x14ac:dyDescent="0.4">
      <c r="A172" s="204" t="s">
        <v>65</v>
      </c>
      <c r="B172" s="205"/>
      <c r="C172" s="205"/>
      <c r="D172" s="205"/>
      <c r="E172" s="206"/>
    </row>
    <row r="173" spans="1:5" ht="13.9" x14ac:dyDescent="0.4">
      <c r="A173" s="64" t="s">
        <v>5</v>
      </c>
      <c r="B173" s="2"/>
      <c r="C173" s="2"/>
      <c r="D173" s="2"/>
      <c r="E173" s="65"/>
    </row>
    <row r="174" spans="1:5" ht="30.4" thickBot="1" x14ac:dyDescent="0.45">
      <c r="A174" s="86" t="s">
        <v>66</v>
      </c>
      <c r="B174" s="16" t="s">
        <v>6</v>
      </c>
      <c r="C174" s="17">
        <v>0</v>
      </c>
      <c r="D174" s="18" t="s">
        <v>67</v>
      </c>
      <c r="E174" s="143">
        <f>C174*D174</f>
        <v>0</v>
      </c>
    </row>
    <row r="175" spans="1:5" ht="15.4" thickBot="1" x14ac:dyDescent="0.45">
      <c r="A175" s="68" t="s">
        <v>8</v>
      </c>
      <c r="B175" s="6"/>
      <c r="C175" s="6"/>
      <c r="D175" s="61"/>
      <c r="E175" s="89">
        <f>E174</f>
        <v>0</v>
      </c>
    </row>
    <row r="176" spans="1:5" ht="15.4" thickBot="1" x14ac:dyDescent="0.45">
      <c r="A176" s="70" t="s">
        <v>9</v>
      </c>
      <c r="B176" s="71"/>
      <c r="C176" s="71"/>
      <c r="D176" s="72"/>
      <c r="E176" s="88">
        <f>E175</f>
        <v>0</v>
      </c>
    </row>
    <row r="177" spans="1:5" ht="15" x14ac:dyDescent="0.4">
      <c r="A177" s="199" t="s">
        <v>68</v>
      </c>
      <c r="B177" s="200"/>
      <c r="C177" s="200"/>
      <c r="D177" s="200"/>
      <c r="E177" s="207"/>
    </row>
    <row r="178" spans="1:5" ht="13.9" x14ac:dyDescent="0.4">
      <c r="A178" s="64" t="s">
        <v>5</v>
      </c>
      <c r="B178" s="2"/>
      <c r="C178" s="2"/>
      <c r="D178" s="2"/>
      <c r="E178" s="65"/>
    </row>
    <row r="179" spans="1:5" ht="15" x14ac:dyDescent="0.4">
      <c r="A179" s="66" t="s">
        <v>69</v>
      </c>
      <c r="B179" s="3" t="s">
        <v>12</v>
      </c>
      <c r="C179" s="13">
        <v>0</v>
      </c>
      <c r="D179" s="4" t="s">
        <v>70</v>
      </c>
      <c r="E179" s="118">
        <f>C179*D179</f>
        <v>0</v>
      </c>
    </row>
    <row r="180" spans="1:5" ht="15.4" thickBot="1" x14ac:dyDescent="0.45">
      <c r="A180" s="141" t="s">
        <v>71</v>
      </c>
      <c r="B180" s="136" t="s">
        <v>12</v>
      </c>
      <c r="C180" s="137">
        <v>0</v>
      </c>
      <c r="D180" s="138" t="s">
        <v>72</v>
      </c>
      <c r="E180" s="139">
        <f>C180*D180</f>
        <v>0</v>
      </c>
    </row>
    <row r="181" spans="1:5" ht="15.4" thickBot="1" x14ac:dyDescent="0.45">
      <c r="A181" s="132" t="s">
        <v>8</v>
      </c>
      <c r="B181" s="133"/>
      <c r="C181" s="133"/>
      <c r="D181" s="134"/>
      <c r="E181" s="142">
        <f>SUM(E179:E180)</f>
        <v>0</v>
      </c>
    </row>
    <row r="182" spans="1:5" ht="15.4" thickBot="1" x14ac:dyDescent="0.45">
      <c r="A182" s="83" t="s">
        <v>9</v>
      </c>
      <c r="B182" s="84"/>
      <c r="C182" s="84"/>
      <c r="D182" s="84"/>
      <c r="E182" s="140">
        <f>E181</f>
        <v>0</v>
      </c>
    </row>
    <row r="183" spans="1:5" ht="15" x14ac:dyDescent="0.4">
      <c r="A183" s="199" t="s">
        <v>73</v>
      </c>
      <c r="B183" s="200"/>
      <c r="C183" s="200"/>
      <c r="D183" s="200"/>
      <c r="E183" s="201"/>
    </row>
    <row r="184" spans="1:5" ht="13.9" x14ac:dyDescent="0.4">
      <c r="A184" s="64" t="s">
        <v>5</v>
      </c>
      <c r="B184" s="2"/>
      <c r="C184" s="2"/>
      <c r="D184" s="2"/>
      <c r="E184" s="65"/>
    </row>
    <row r="185" spans="1:5" ht="15.4" thickBot="1" x14ac:dyDescent="0.45">
      <c r="A185" s="135" t="s">
        <v>85</v>
      </c>
      <c r="B185" s="136" t="s">
        <v>21</v>
      </c>
      <c r="C185" s="137">
        <v>0</v>
      </c>
      <c r="D185" s="138" t="s">
        <v>74</v>
      </c>
      <c r="E185" s="139">
        <f>C185*D185</f>
        <v>0</v>
      </c>
    </row>
    <row r="186" spans="1:5" ht="15.4" thickBot="1" x14ac:dyDescent="0.45">
      <c r="A186" s="132" t="s">
        <v>8</v>
      </c>
      <c r="B186" s="133"/>
      <c r="C186" s="133"/>
      <c r="D186" s="134"/>
      <c r="E186" s="130">
        <f>E185</f>
        <v>0</v>
      </c>
    </row>
    <row r="187" spans="1:5" ht="15.4" thickBot="1" x14ac:dyDescent="0.45">
      <c r="A187" s="83" t="s">
        <v>9</v>
      </c>
      <c r="B187" s="84"/>
      <c r="C187" s="84"/>
      <c r="D187" s="131"/>
      <c r="E187" s="129">
        <f>E186</f>
        <v>0</v>
      </c>
    </row>
    <row r="188" spans="1:5" ht="15" x14ac:dyDescent="0.4">
      <c r="A188" s="199" t="s">
        <v>75</v>
      </c>
      <c r="B188" s="200"/>
      <c r="C188" s="200"/>
      <c r="D188" s="200"/>
      <c r="E188" s="201"/>
    </row>
    <row r="189" spans="1:5" ht="13.9" x14ac:dyDescent="0.4">
      <c r="A189" s="64" t="s">
        <v>5</v>
      </c>
      <c r="B189" s="2"/>
      <c r="C189" s="2"/>
      <c r="D189" s="2"/>
      <c r="E189" s="65"/>
    </row>
    <row r="190" spans="1:5" ht="15" x14ac:dyDescent="0.4">
      <c r="A190" s="66" t="s">
        <v>76</v>
      </c>
      <c r="B190" s="3" t="s">
        <v>21</v>
      </c>
      <c r="C190" s="13">
        <v>0</v>
      </c>
      <c r="D190" s="4" t="s">
        <v>61</v>
      </c>
      <c r="E190" s="118">
        <f>D190*C190</f>
        <v>0</v>
      </c>
    </row>
    <row r="191" spans="1:5" ht="15.4" thickBot="1" x14ac:dyDescent="0.45">
      <c r="A191" s="135" t="s">
        <v>104</v>
      </c>
      <c r="B191" s="136" t="s">
        <v>21</v>
      </c>
      <c r="C191" s="137">
        <v>0</v>
      </c>
      <c r="D191" s="138" t="s">
        <v>61</v>
      </c>
      <c r="E191" s="139">
        <f>D191*C191</f>
        <v>0</v>
      </c>
    </row>
    <row r="192" spans="1:5" ht="15.4" thickBot="1" x14ac:dyDescent="0.45">
      <c r="A192" s="132" t="s">
        <v>8</v>
      </c>
      <c r="B192" s="133"/>
      <c r="C192" s="133"/>
      <c r="D192" s="134"/>
      <c r="E192" s="130">
        <f>SUM(E190:E191)</f>
        <v>0</v>
      </c>
    </row>
    <row r="193" spans="1:5" ht="15.4" thickBot="1" x14ac:dyDescent="0.45">
      <c r="A193" s="83" t="s">
        <v>9</v>
      </c>
      <c r="B193" s="84"/>
      <c r="C193" s="84"/>
      <c r="D193" s="131"/>
      <c r="E193" s="129">
        <f>E192</f>
        <v>0</v>
      </c>
    </row>
    <row r="194" spans="1:5" ht="20.65" thickBot="1" x14ac:dyDescent="0.45">
      <c r="A194" s="213" t="s">
        <v>89</v>
      </c>
      <c r="B194" s="214"/>
      <c r="C194" s="214"/>
      <c r="D194" s="214"/>
      <c r="E194" s="128">
        <f>SUM(E11,E16,E23,E34,E39,E48,E56,E65,E70,E80,E91,E100,E111,E125,E130,E135,E140,E145,E150,E155,E160,E165,E170,E175,E181,E186,E192)</f>
        <v>958101.60000000009</v>
      </c>
    </row>
    <row r="195" spans="1:5" s="39" customFormat="1" ht="20.65" thickBot="1" x14ac:dyDescent="0.6">
      <c r="A195" s="218" t="s">
        <v>138</v>
      </c>
      <c r="B195" s="219"/>
      <c r="C195" s="219"/>
      <c r="D195" s="220"/>
      <c r="E195" s="127">
        <f>E29+E43+E51+E60+E75+E86+E95+E106+E120</f>
        <v>2673182.3883999996</v>
      </c>
    </row>
    <row r="196" spans="1:5" ht="20.25" x14ac:dyDescent="0.4">
      <c r="A196" s="215" t="s">
        <v>77</v>
      </c>
      <c r="B196" s="216"/>
      <c r="C196" s="216"/>
      <c r="D196" s="216"/>
      <c r="E196" s="217"/>
    </row>
    <row r="197" spans="1:5" ht="17.649999999999999" x14ac:dyDescent="0.4">
      <c r="A197" s="19" t="s">
        <v>78</v>
      </c>
      <c r="B197" s="19" t="s">
        <v>79</v>
      </c>
      <c r="C197" s="20">
        <v>1</v>
      </c>
      <c r="D197" s="26">
        <v>230000</v>
      </c>
      <c r="E197" s="26">
        <f>D197*C197</f>
        <v>230000</v>
      </c>
    </row>
    <row r="198" spans="1:5" ht="17.649999999999999" x14ac:dyDescent="0.4">
      <c r="A198" s="19" t="s">
        <v>80</v>
      </c>
      <c r="B198" s="19" t="s">
        <v>79</v>
      </c>
      <c r="C198" s="20">
        <v>5</v>
      </c>
      <c r="D198" s="26">
        <v>32000</v>
      </c>
      <c r="E198" s="26">
        <f t="shared" ref="E198:E199" si="4">D198*C198</f>
        <v>160000</v>
      </c>
    </row>
    <row r="199" spans="1:5" ht="17.649999999999999" x14ac:dyDescent="0.4">
      <c r="A199" s="21" t="s">
        <v>81</v>
      </c>
      <c r="B199" s="21" t="s">
        <v>79</v>
      </c>
      <c r="C199" s="22">
        <v>3</v>
      </c>
      <c r="D199" s="23" t="s">
        <v>82</v>
      </c>
      <c r="E199" s="26">
        <f t="shared" si="4"/>
        <v>45000</v>
      </c>
    </row>
    <row r="200" spans="1:5" ht="40.5" customHeight="1" x14ac:dyDescent="0.4">
      <c r="A200" s="211" t="s">
        <v>83</v>
      </c>
      <c r="B200" s="211"/>
      <c r="C200" s="211"/>
      <c r="D200" s="211"/>
      <c r="E200" s="25">
        <f>SUM(E197:E199)</f>
        <v>435000</v>
      </c>
    </row>
    <row r="201" spans="1:5" ht="25.9" customHeight="1" thickBot="1" x14ac:dyDescent="0.45">
      <c r="A201" s="212" t="s">
        <v>139</v>
      </c>
      <c r="B201" s="212"/>
      <c r="C201" s="212"/>
      <c r="D201" s="212"/>
      <c r="E201" s="29">
        <f>E200+E194</f>
        <v>1393101.6</v>
      </c>
    </row>
    <row r="202" spans="1:5" ht="21" hidden="1" thickBot="1" x14ac:dyDescent="0.45">
      <c r="A202" s="208" t="s">
        <v>84</v>
      </c>
      <c r="B202" s="209"/>
      <c r="C202" s="209"/>
      <c r="D202" s="210"/>
      <c r="E202" s="29">
        <f>E201*0.22</f>
        <v>306482.35200000001</v>
      </c>
    </row>
    <row r="203" spans="1:5" s="39" customFormat="1" ht="20.65" customHeight="1" thickBot="1" x14ac:dyDescent="0.6">
      <c r="A203" s="221" t="s">
        <v>158</v>
      </c>
      <c r="B203" s="222"/>
      <c r="C203" s="222"/>
      <c r="D203" s="223"/>
      <c r="E203" s="127">
        <f>E201+E195</f>
        <v>4066283.9883999997</v>
      </c>
    </row>
    <row r="204" spans="1:5" ht="51" customHeight="1" x14ac:dyDescent="0.4">
      <c r="A204" s="208" t="s">
        <v>132</v>
      </c>
      <c r="B204" s="209"/>
      <c r="C204" s="209"/>
      <c r="D204" s="210"/>
      <c r="E204" s="29">
        <f>E203+E202</f>
        <v>4372766.3404000001</v>
      </c>
    </row>
    <row r="206" spans="1:5" ht="15.4" x14ac:dyDescent="0.4">
      <c r="A206" s="31" t="s">
        <v>92</v>
      </c>
      <c r="B206" s="31" t="s">
        <v>95</v>
      </c>
      <c r="C206" s="28"/>
    </row>
    <row r="207" spans="1:5" ht="15.4" x14ac:dyDescent="0.4">
      <c r="A207" s="31" t="s">
        <v>93</v>
      </c>
      <c r="B207" s="31" t="s">
        <v>96</v>
      </c>
      <c r="C207" s="28"/>
    </row>
    <row r="208" spans="1:5" ht="15.4" x14ac:dyDescent="0.4">
      <c r="A208" s="28" t="s">
        <v>94</v>
      </c>
      <c r="B208" s="202" t="s">
        <v>97</v>
      </c>
      <c r="C208" s="202"/>
    </row>
    <row r="209" spans="1:3" ht="15.4" x14ac:dyDescent="0.4">
      <c r="A209" s="31" t="s">
        <v>90</v>
      </c>
      <c r="B209" s="32" t="s">
        <v>98</v>
      </c>
      <c r="C209" s="28"/>
    </row>
    <row r="210" spans="1:3" ht="15.4" x14ac:dyDescent="0.4">
      <c r="A210" s="31"/>
      <c r="B210" s="28"/>
      <c r="C210" s="28"/>
    </row>
    <row r="211" spans="1:3" ht="15.4" x14ac:dyDescent="0.4">
      <c r="A211" s="32" t="s">
        <v>91</v>
      </c>
      <c r="B211" s="32" t="s">
        <v>99</v>
      </c>
      <c r="C211" s="28"/>
    </row>
    <row r="212" spans="1:3" x14ac:dyDescent="0.4">
      <c r="B212" s="30"/>
    </row>
  </sheetData>
  <mergeCells count="37">
    <mergeCell ref="A88:E88"/>
    <mergeCell ref="A97:E97"/>
    <mergeCell ref="A108:E108"/>
    <mergeCell ref="A122:E122"/>
    <mergeCell ref="A127:E127"/>
    <mergeCell ref="A45:E45"/>
    <mergeCell ref="A53:E53"/>
    <mergeCell ref="A62:E62"/>
    <mergeCell ref="A67:E67"/>
    <mergeCell ref="A77:E77"/>
    <mergeCell ref="A13:E13"/>
    <mergeCell ref="A18:E18"/>
    <mergeCell ref="A4:E4"/>
    <mergeCell ref="A31:E31"/>
    <mergeCell ref="A36:E36"/>
    <mergeCell ref="A7:E7"/>
    <mergeCell ref="A132:E132"/>
    <mergeCell ref="A137:E137"/>
    <mergeCell ref="A142:E142"/>
    <mergeCell ref="A147:E147"/>
    <mergeCell ref="A152:E152"/>
    <mergeCell ref="A157:E157"/>
    <mergeCell ref="B208:C208"/>
    <mergeCell ref="A162:E162"/>
    <mergeCell ref="A172:E172"/>
    <mergeCell ref="A177:E177"/>
    <mergeCell ref="A204:D204"/>
    <mergeCell ref="A200:D200"/>
    <mergeCell ref="A201:D201"/>
    <mergeCell ref="A202:D202"/>
    <mergeCell ref="A183:E183"/>
    <mergeCell ref="A188:E188"/>
    <mergeCell ref="A194:D194"/>
    <mergeCell ref="A196:E196"/>
    <mergeCell ref="A195:D195"/>
    <mergeCell ref="A203:D203"/>
    <mergeCell ref="A167:E167"/>
  </mergeCells>
  <pageMargins left="0.7" right="0.7" top="0.75" bottom="0.75" header="0.3" footer="0.3"/>
  <pageSetup paperSize="9" scale="5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646D7-BB48-4CB0-8C97-C70C4E0D2014}">
  <sheetPr>
    <pageSetUpPr fitToPage="1"/>
  </sheetPr>
  <dimension ref="A1:H212"/>
  <sheetViews>
    <sheetView view="pageBreakPreview" topLeftCell="A191" zoomScale="85" zoomScaleNormal="55" zoomScaleSheetLayoutView="85" workbookViewId="0">
      <selection activeCell="A203" sqref="A203:D203"/>
    </sheetView>
  </sheetViews>
  <sheetFormatPr defaultRowHeight="13.15" x14ac:dyDescent="0.4"/>
  <cols>
    <col min="1" max="1" width="86.5" customWidth="1"/>
    <col min="2" max="2" width="9.85546875" customWidth="1"/>
    <col min="3" max="3" width="17.140625" customWidth="1"/>
    <col min="4" max="4" width="25.35546875" customWidth="1"/>
    <col min="5" max="5" width="26.85546875" customWidth="1"/>
    <col min="6" max="6" width="2.640625" customWidth="1"/>
  </cols>
  <sheetData>
    <row r="1" spans="1:6" ht="15.4" x14ac:dyDescent="0.4">
      <c r="A1" s="28"/>
      <c r="B1" s="28"/>
      <c r="C1" s="28"/>
      <c r="D1" s="28"/>
      <c r="E1" s="27" t="s">
        <v>86</v>
      </c>
    </row>
    <row r="2" spans="1:6" ht="15.4" x14ac:dyDescent="0.4">
      <c r="A2" s="28"/>
      <c r="B2" s="28"/>
      <c r="C2" s="28"/>
      <c r="D2" s="28"/>
      <c r="E2" s="27" t="s">
        <v>102</v>
      </c>
    </row>
    <row r="3" spans="1:6" ht="15.4" x14ac:dyDescent="0.4">
      <c r="A3" s="28"/>
      <c r="B3" s="28"/>
      <c r="C3" s="28"/>
      <c r="D3" s="28"/>
      <c r="E3" s="28"/>
    </row>
    <row r="4" spans="1:6" ht="15" x14ac:dyDescent="0.4">
      <c r="A4" s="226" t="s">
        <v>87</v>
      </c>
      <c r="B4" s="226"/>
      <c r="C4" s="226"/>
      <c r="D4" s="226"/>
      <c r="E4" s="226"/>
    </row>
    <row r="5" spans="1:6" ht="13.5" thickBot="1" x14ac:dyDescent="0.45"/>
    <row r="6" spans="1:6" ht="45.2" customHeight="1" thickBot="1" x14ac:dyDescent="0.45">
      <c r="A6" s="73" t="s">
        <v>0</v>
      </c>
      <c r="B6" s="74" t="s">
        <v>88</v>
      </c>
      <c r="C6" s="75" t="s">
        <v>1</v>
      </c>
      <c r="D6" s="76" t="s">
        <v>2</v>
      </c>
      <c r="E6" s="77" t="s">
        <v>3</v>
      </c>
    </row>
    <row r="7" spans="1:6" ht="24.95" customHeight="1" x14ac:dyDescent="0.4">
      <c r="A7" s="199" t="s">
        <v>143</v>
      </c>
      <c r="B7" s="200"/>
      <c r="C7" s="200"/>
      <c r="D7" s="200"/>
      <c r="E7" s="201"/>
    </row>
    <row r="8" spans="1:6" s="39" customFormat="1" ht="15" x14ac:dyDescent="0.4">
      <c r="A8" s="158" t="s">
        <v>145</v>
      </c>
      <c r="B8" s="49" t="s">
        <v>106</v>
      </c>
      <c r="C8" s="159">
        <f>'СР (материалы ТН)'!C8</f>
        <v>1128</v>
      </c>
      <c r="D8" s="160">
        <f>'СР (материалы ТН)'!D8</f>
        <v>80</v>
      </c>
      <c r="E8" s="161">
        <f t="shared" ref="E8:E10" si="0">C8*D8</f>
        <v>90240</v>
      </c>
      <c r="F8" s="40"/>
    </row>
    <row r="9" spans="1:6" s="39" customFormat="1" ht="15" x14ac:dyDescent="0.4">
      <c r="A9" s="158" t="s">
        <v>146</v>
      </c>
      <c r="B9" s="49" t="s">
        <v>106</v>
      </c>
      <c r="C9" s="159">
        <f>'СР (материалы ТН)'!C9</f>
        <v>1118.3999999999999</v>
      </c>
      <c r="D9" s="160">
        <f>'СР (материалы ТН)'!D9</f>
        <v>100</v>
      </c>
      <c r="E9" s="161">
        <f t="shared" si="0"/>
        <v>111839.99999999999</v>
      </c>
      <c r="F9" s="40"/>
    </row>
    <row r="10" spans="1:6" s="39" customFormat="1" ht="15.4" thickBot="1" x14ac:dyDescent="0.45">
      <c r="A10" s="158" t="s">
        <v>144</v>
      </c>
      <c r="B10" s="49" t="s">
        <v>106</v>
      </c>
      <c r="C10" s="159">
        <f>'СР (материалы ТН)'!C10</f>
        <v>894.96</v>
      </c>
      <c r="D10" s="160">
        <f>'СР (материалы ТН)'!D10</f>
        <v>180</v>
      </c>
      <c r="E10" s="161">
        <f t="shared" si="0"/>
        <v>161092.80000000002</v>
      </c>
      <c r="F10" s="40"/>
    </row>
    <row r="11" spans="1:6" s="39" customFormat="1" ht="15.4" thickBot="1" x14ac:dyDescent="0.45">
      <c r="A11" s="68" t="s">
        <v>8</v>
      </c>
      <c r="B11" s="6"/>
      <c r="C11" s="6"/>
      <c r="D11" s="61"/>
      <c r="E11" s="62">
        <f>SUM(E8:E10)</f>
        <v>363172.80000000005</v>
      </c>
      <c r="F11" s="40"/>
    </row>
    <row r="12" spans="1:6" ht="17.25" customHeight="1" thickBot="1" x14ac:dyDescent="0.45">
      <c r="A12" s="70" t="s">
        <v>9</v>
      </c>
      <c r="B12" s="71"/>
      <c r="C12" s="71"/>
      <c r="D12" s="72"/>
      <c r="E12" s="63">
        <f>E11</f>
        <v>363172.80000000005</v>
      </c>
    </row>
    <row r="13" spans="1:6" ht="24.95" customHeight="1" x14ac:dyDescent="0.4">
      <c r="A13" s="199" t="s">
        <v>4</v>
      </c>
      <c r="B13" s="200"/>
      <c r="C13" s="200"/>
      <c r="D13" s="200"/>
      <c r="E13" s="201"/>
    </row>
    <row r="14" spans="1:6" ht="21.2" customHeight="1" x14ac:dyDescent="0.4">
      <c r="A14" s="64" t="s">
        <v>5</v>
      </c>
      <c r="B14" s="2"/>
      <c r="C14" s="2"/>
      <c r="D14" s="2"/>
      <c r="E14" s="65"/>
    </row>
    <row r="15" spans="1:6" ht="17.25" customHeight="1" thickBot="1" x14ac:dyDescent="0.45">
      <c r="A15" s="90" t="s">
        <v>133</v>
      </c>
      <c r="B15" s="3" t="s">
        <v>6</v>
      </c>
      <c r="C15" s="159">
        <f>'СР (материалы ТН)'!C15</f>
        <v>894.96</v>
      </c>
      <c r="D15" s="160" t="str">
        <f>'СР (материалы ТН)'!D15</f>
        <v>140,00 ₽</v>
      </c>
      <c r="E15" s="67">
        <f>D15*C15</f>
        <v>125294.40000000001</v>
      </c>
    </row>
    <row r="16" spans="1:6" ht="17.25" customHeight="1" thickBot="1" x14ac:dyDescent="0.45">
      <c r="A16" s="68" t="s">
        <v>8</v>
      </c>
      <c r="B16" s="6"/>
      <c r="C16" s="6"/>
      <c r="D16" s="61"/>
      <c r="E16" s="62">
        <f>E15</f>
        <v>125294.40000000001</v>
      </c>
    </row>
    <row r="17" spans="1:5" ht="17.25" customHeight="1" thickBot="1" x14ac:dyDescent="0.45">
      <c r="A17" s="70" t="s">
        <v>9</v>
      </c>
      <c r="B17" s="71"/>
      <c r="C17" s="71"/>
      <c r="D17" s="72"/>
      <c r="E17" s="63">
        <f>E16</f>
        <v>125294.40000000001</v>
      </c>
    </row>
    <row r="18" spans="1:5" ht="35.25" customHeight="1" x14ac:dyDescent="0.4">
      <c r="A18" s="199" t="s">
        <v>10</v>
      </c>
      <c r="B18" s="200"/>
      <c r="C18" s="200"/>
      <c r="D18" s="200"/>
      <c r="E18" s="201"/>
    </row>
    <row r="19" spans="1:5" ht="15.75" customHeight="1" x14ac:dyDescent="0.4">
      <c r="A19" s="64" t="s">
        <v>5</v>
      </c>
      <c r="B19" s="2"/>
      <c r="C19" s="2"/>
      <c r="D19" s="2"/>
      <c r="E19" s="65"/>
    </row>
    <row r="20" spans="1:5" ht="19.7" customHeight="1" x14ac:dyDescent="0.4">
      <c r="A20" s="86" t="s">
        <v>11</v>
      </c>
      <c r="B20" s="7" t="s">
        <v>12</v>
      </c>
      <c r="C20" s="159">
        <f>'СР (материалы ТН)'!C20</f>
        <v>36</v>
      </c>
      <c r="D20" s="160" t="str">
        <f>'СР (материалы ТН)'!D20</f>
        <v>20,00 ₽</v>
      </c>
      <c r="E20" s="87">
        <f>D20*C20</f>
        <v>720</v>
      </c>
    </row>
    <row r="21" spans="1:5" ht="34.5" customHeight="1" x14ac:dyDescent="0.4">
      <c r="A21" s="66" t="s">
        <v>14</v>
      </c>
      <c r="B21" s="10" t="s">
        <v>12</v>
      </c>
      <c r="C21" s="159">
        <f>'СР (материалы ТН)'!C21</f>
        <v>0</v>
      </c>
      <c r="D21" s="160" t="str">
        <f>'СР (материалы ТН)'!D21</f>
        <v>10,00 ₽</v>
      </c>
      <c r="E21" s="87">
        <f>D21*C21</f>
        <v>0</v>
      </c>
    </row>
    <row r="22" spans="1:5" ht="17.25" customHeight="1" thickBot="1" x14ac:dyDescent="0.45">
      <c r="A22" s="66" t="s">
        <v>16</v>
      </c>
      <c r="B22" s="3" t="s">
        <v>12</v>
      </c>
      <c r="C22" s="159">
        <f>'СР (материалы ТН)'!C22</f>
        <v>0</v>
      </c>
      <c r="D22" s="160" t="str">
        <f>'СР (материалы ТН)'!D22</f>
        <v>10,00 ₽</v>
      </c>
      <c r="E22" s="67">
        <f>D22*C22</f>
        <v>0</v>
      </c>
    </row>
    <row r="23" spans="1:5" ht="17.25" customHeight="1" thickBot="1" x14ac:dyDescent="0.45">
      <c r="A23" s="68" t="s">
        <v>8</v>
      </c>
      <c r="B23" s="6"/>
      <c r="C23" s="6"/>
      <c r="D23" s="61"/>
      <c r="E23" s="62">
        <f>SUM(E20:E22)</f>
        <v>720</v>
      </c>
    </row>
    <row r="24" spans="1:5" s="39" customFormat="1" ht="15" x14ac:dyDescent="0.4">
      <c r="A24" s="34" t="s">
        <v>105</v>
      </c>
      <c r="B24" s="35"/>
      <c r="C24" s="36"/>
      <c r="D24" s="46"/>
      <c r="E24" s="47"/>
    </row>
    <row r="25" spans="1:5" s="39" customFormat="1" ht="16.5" customHeight="1" x14ac:dyDescent="0.4">
      <c r="A25" s="119" t="s">
        <v>111</v>
      </c>
      <c r="B25" s="120" t="s">
        <v>137</v>
      </c>
      <c r="C25" s="159">
        <f>'СР (материалы ТН)'!C25</f>
        <v>36</v>
      </c>
      <c r="D25" s="160">
        <v>1284</v>
      </c>
      <c r="E25" s="237">
        <f>C25*D25</f>
        <v>46224</v>
      </c>
    </row>
    <row r="26" spans="1:5" s="39" customFormat="1" ht="16.5" customHeight="1" x14ac:dyDescent="0.4">
      <c r="A26" s="119" t="s">
        <v>112</v>
      </c>
      <c r="B26" s="120" t="s">
        <v>137</v>
      </c>
      <c r="C26" s="159">
        <f>'СР (материалы ТН)'!C26</f>
        <v>0</v>
      </c>
      <c r="D26" s="160">
        <f>'СР (материалы ТН)'!D26</f>
        <v>1300</v>
      </c>
      <c r="E26" s="237">
        <f>C26*D26</f>
        <v>0</v>
      </c>
    </row>
    <row r="27" spans="1:5" s="39" customFormat="1" ht="16.5" customHeight="1" x14ac:dyDescent="0.4">
      <c r="A27" s="119" t="s">
        <v>113</v>
      </c>
      <c r="B27" s="120" t="s">
        <v>137</v>
      </c>
      <c r="C27" s="159">
        <f>'СР (материалы ТН)'!C27</f>
        <v>0</v>
      </c>
      <c r="D27" s="160">
        <f>'СР (материалы ТН)'!D27</f>
        <v>1300</v>
      </c>
      <c r="E27" s="237">
        <f>C27*D27</f>
        <v>0</v>
      </c>
    </row>
    <row r="28" spans="1:5" s="39" customFormat="1" ht="16.5" customHeight="1" thickBot="1" x14ac:dyDescent="0.45">
      <c r="A28" s="119" t="s">
        <v>114</v>
      </c>
      <c r="B28" s="120" t="s">
        <v>107</v>
      </c>
      <c r="C28" s="159">
        <f>'СР (материалы ТН)'!C28</f>
        <v>360</v>
      </c>
      <c r="D28" s="160">
        <v>2.35</v>
      </c>
      <c r="E28" s="238">
        <f>C28*D28</f>
        <v>846</v>
      </c>
    </row>
    <row r="29" spans="1:5" s="39" customFormat="1" ht="18.75" customHeight="1" thickBot="1" x14ac:dyDescent="0.45">
      <c r="A29" s="78" t="s">
        <v>108</v>
      </c>
      <c r="B29" s="79"/>
      <c r="C29" s="80"/>
      <c r="D29" s="81"/>
      <c r="E29" s="82">
        <f>SUM(E25:E28)</f>
        <v>47070</v>
      </c>
    </row>
    <row r="30" spans="1:5" ht="17.25" customHeight="1" thickBot="1" x14ac:dyDescent="0.45">
      <c r="A30" s="83" t="s">
        <v>9</v>
      </c>
      <c r="B30" s="84"/>
      <c r="C30" s="84"/>
      <c r="D30" s="84"/>
      <c r="E30" s="85">
        <f>E23+E29</f>
        <v>47790</v>
      </c>
    </row>
    <row r="31" spans="1:5" ht="31.5" customHeight="1" x14ac:dyDescent="0.4">
      <c r="A31" s="199" t="s">
        <v>17</v>
      </c>
      <c r="B31" s="200"/>
      <c r="C31" s="200"/>
      <c r="D31" s="200"/>
      <c r="E31" s="201"/>
    </row>
    <row r="32" spans="1:5" ht="15.75" customHeight="1" x14ac:dyDescent="0.4">
      <c r="A32" s="64" t="s">
        <v>5</v>
      </c>
      <c r="B32" s="2"/>
      <c r="C32" s="2"/>
      <c r="D32" s="2"/>
      <c r="E32" s="65"/>
    </row>
    <row r="33" spans="1:5" ht="17.25" customHeight="1" thickBot="1" x14ac:dyDescent="0.45">
      <c r="A33" s="90" t="s">
        <v>103</v>
      </c>
      <c r="B33" s="3" t="s">
        <v>12</v>
      </c>
      <c r="C33" s="159">
        <f>'СР (материалы ТН)'!C33</f>
        <v>0</v>
      </c>
      <c r="D33" s="160" t="str">
        <f>'СР (материалы ТН)'!D33</f>
        <v>200,00 ₽</v>
      </c>
      <c r="E33" s="91">
        <f>C33*D33</f>
        <v>0</v>
      </c>
    </row>
    <row r="34" spans="1:5" ht="17.25" customHeight="1" thickBot="1" x14ac:dyDescent="0.45">
      <c r="A34" s="68" t="s">
        <v>8</v>
      </c>
      <c r="B34" s="6"/>
      <c r="C34" s="6"/>
      <c r="D34" s="61"/>
      <c r="E34" s="89">
        <f>E33</f>
        <v>0</v>
      </c>
    </row>
    <row r="35" spans="1:5" ht="17.25" customHeight="1" thickBot="1" x14ac:dyDescent="0.45">
      <c r="A35" s="70" t="s">
        <v>9</v>
      </c>
      <c r="B35" s="71"/>
      <c r="C35" s="71"/>
      <c r="D35" s="72"/>
      <c r="E35" s="88">
        <f>E34</f>
        <v>0</v>
      </c>
    </row>
    <row r="36" spans="1:5" ht="31.5" customHeight="1" x14ac:dyDescent="0.4">
      <c r="A36" s="199" t="s">
        <v>19</v>
      </c>
      <c r="B36" s="200"/>
      <c r="C36" s="200"/>
      <c r="D36" s="200"/>
      <c r="E36" s="201"/>
    </row>
    <row r="37" spans="1:5" ht="15.75" customHeight="1" x14ac:dyDescent="0.4">
      <c r="A37" s="64" t="s">
        <v>5</v>
      </c>
      <c r="B37" s="2"/>
      <c r="C37" s="2"/>
      <c r="D37" s="2"/>
      <c r="E37" s="65"/>
    </row>
    <row r="38" spans="1:5" ht="34.5" customHeight="1" thickBot="1" x14ac:dyDescent="0.45">
      <c r="A38" s="66" t="s">
        <v>20</v>
      </c>
      <c r="B38" s="10" t="s">
        <v>21</v>
      </c>
      <c r="C38" s="159">
        <f>'СР (материалы ТН)'!C38</f>
        <v>0</v>
      </c>
      <c r="D38" s="160" t="str">
        <f>'СР (материалы ТН)'!D38</f>
        <v>100,00 ₽</v>
      </c>
      <c r="E38" s="92">
        <f>D38*C38</f>
        <v>0</v>
      </c>
    </row>
    <row r="39" spans="1:5" ht="17.25" customHeight="1" thickBot="1" x14ac:dyDescent="0.45">
      <c r="A39" s="68" t="s">
        <v>8</v>
      </c>
      <c r="B39" s="6"/>
      <c r="C39" s="6"/>
      <c r="D39" s="61"/>
      <c r="E39" s="89">
        <f>E38</f>
        <v>0</v>
      </c>
    </row>
    <row r="40" spans="1:5" s="39" customFormat="1" ht="15" x14ac:dyDescent="0.4">
      <c r="A40" s="34" t="s">
        <v>105</v>
      </c>
      <c r="B40" s="35"/>
      <c r="C40" s="36"/>
      <c r="D40" s="46"/>
      <c r="E40" s="47"/>
    </row>
    <row r="41" spans="1:5" ht="15" x14ac:dyDescent="0.4">
      <c r="A41" s="55" t="s">
        <v>115</v>
      </c>
      <c r="B41" s="56" t="s">
        <v>107</v>
      </c>
      <c r="C41" s="159">
        <f>'СР (материалы ТН)'!C41</f>
        <v>0</v>
      </c>
      <c r="D41" s="160">
        <f>'СР (материалы ТН)'!D41</f>
        <v>1300</v>
      </c>
      <c r="E41" s="59">
        <f t="shared" ref="E41:E42" si="1">D41*C41</f>
        <v>0</v>
      </c>
    </row>
    <row r="42" spans="1:5" ht="15.4" thickBot="1" x14ac:dyDescent="0.45">
      <c r="A42" s="54" t="s">
        <v>114</v>
      </c>
      <c r="B42" s="35" t="s">
        <v>107</v>
      </c>
      <c r="C42" s="159">
        <f>'СР (материалы ТН)'!C42</f>
        <v>0</v>
      </c>
      <c r="D42" s="160">
        <f>D28</f>
        <v>2.35</v>
      </c>
      <c r="E42" s="59">
        <f t="shared" si="1"/>
        <v>0</v>
      </c>
    </row>
    <row r="43" spans="1:5" ht="15.4" thickBot="1" x14ac:dyDescent="0.45">
      <c r="A43" s="41" t="s">
        <v>108</v>
      </c>
      <c r="B43" s="42"/>
      <c r="C43" s="43"/>
      <c r="D43" s="44"/>
      <c r="E43" s="93">
        <f>SUM(E41:E42)</f>
        <v>0</v>
      </c>
    </row>
    <row r="44" spans="1:5" ht="17.25" customHeight="1" thickBot="1" x14ac:dyDescent="0.45">
      <c r="A44" s="70" t="s">
        <v>9</v>
      </c>
      <c r="B44" s="71"/>
      <c r="C44" s="71"/>
      <c r="D44" s="72"/>
      <c r="E44" s="88">
        <f>E39+E43</f>
        <v>0</v>
      </c>
    </row>
    <row r="45" spans="1:5" ht="30" customHeight="1" x14ac:dyDescent="0.4">
      <c r="A45" s="199" t="s">
        <v>23</v>
      </c>
      <c r="B45" s="200"/>
      <c r="C45" s="200"/>
      <c r="D45" s="200"/>
      <c r="E45" s="201"/>
    </row>
    <row r="46" spans="1:5" ht="15.75" customHeight="1" x14ac:dyDescent="0.4">
      <c r="A46" s="64" t="s">
        <v>5</v>
      </c>
      <c r="B46" s="2"/>
      <c r="C46" s="2"/>
      <c r="D46" s="2"/>
      <c r="E46" s="65"/>
    </row>
    <row r="47" spans="1:5" ht="34.5" customHeight="1" thickBot="1" x14ac:dyDescent="0.45">
      <c r="A47" s="66" t="s">
        <v>24</v>
      </c>
      <c r="B47" s="10" t="s">
        <v>12</v>
      </c>
      <c r="C47" s="163">
        <f>'СР (материалы ТН)'!C47</f>
        <v>36</v>
      </c>
      <c r="D47" s="164" t="str">
        <f>'СР (материалы ТН)'!D47</f>
        <v>10,00 ₽</v>
      </c>
      <c r="E47" s="92">
        <f>D47*C47</f>
        <v>360</v>
      </c>
    </row>
    <row r="48" spans="1:5" ht="17.25" customHeight="1" thickBot="1" x14ac:dyDescent="0.45">
      <c r="A48" s="68" t="s">
        <v>8</v>
      </c>
      <c r="B48" s="6"/>
      <c r="C48" s="6"/>
      <c r="D48" s="61"/>
      <c r="E48" s="89">
        <f>E47</f>
        <v>360</v>
      </c>
    </row>
    <row r="49" spans="1:6" s="39" customFormat="1" ht="15" x14ac:dyDescent="0.4">
      <c r="A49" s="34" t="s">
        <v>105</v>
      </c>
      <c r="B49" s="35"/>
      <c r="C49" s="36"/>
      <c r="D49" s="46"/>
      <c r="E49" s="47"/>
    </row>
    <row r="50" spans="1:6" s="39" customFormat="1" ht="15.4" thickBot="1" x14ac:dyDescent="0.45">
      <c r="A50" s="48" t="s">
        <v>109</v>
      </c>
      <c r="B50" s="49" t="s">
        <v>110</v>
      </c>
      <c r="C50" s="163">
        <f>'СР (материалы ТН)'!C50</f>
        <v>1.1879999999999999</v>
      </c>
      <c r="D50" s="164">
        <f>'СР (материалы ТН)'!D50</f>
        <v>3700</v>
      </c>
      <c r="E50" s="155">
        <f>C50*D50</f>
        <v>4395.5999999999995</v>
      </c>
    </row>
    <row r="51" spans="1:6" s="39" customFormat="1" ht="18.75" customHeight="1" thickBot="1" x14ac:dyDescent="0.45">
      <c r="A51" s="41" t="s">
        <v>108</v>
      </c>
      <c r="B51" s="42"/>
      <c r="C51" s="43"/>
      <c r="D51" s="44"/>
      <c r="E51" s="45">
        <f>SUM(E50)</f>
        <v>4395.5999999999995</v>
      </c>
    </row>
    <row r="52" spans="1:6" ht="17.25" customHeight="1" thickBot="1" x14ac:dyDescent="0.45">
      <c r="A52" s="70" t="s">
        <v>9</v>
      </c>
      <c r="B52" s="71"/>
      <c r="C52" s="71"/>
      <c r="D52" s="72"/>
      <c r="E52" s="88">
        <f>E48+E51</f>
        <v>4755.5999999999995</v>
      </c>
    </row>
    <row r="53" spans="1:6" ht="30.2" customHeight="1" x14ac:dyDescent="0.4">
      <c r="A53" s="199" t="s">
        <v>25</v>
      </c>
      <c r="B53" s="200"/>
      <c r="C53" s="200"/>
      <c r="D53" s="200"/>
      <c r="E53" s="201"/>
    </row>
    <row r="54" spans="1:6" ht="15.75" customHeight="1" x14ac:dyDescent="0.4">
      <c r="A54" s="64" t="s">
        <v>5</v>
      </c>
      <c r="B54" s="2"/>
      <c r="C54" s="2"/>
      <c r="D54" s="2"/>
      <c r="E54" s="65"/>
    </row>
    <row r="55" spans="1:6" ht="34.5" customHeight="1" thickBot="1" x14ac:dyDescent="0.45">
      <c r="A55" s="66" t="s">
        <v>26</v>
      </c>
      <c r="B55" s="10" t="s">
        <v>6</v>
      </c>
      <c r="C55" s="163">
        <f>'СР (материалы ТН)'!C55</f>
        <v>894.96</v>
      </c>
      <c r="D55" s="164" t="str">
        <f>'СР (материалы ТН)'!D55</f>
        <v>40,00 ₽</v>
      </c>
      <c r="E55" s="92">
        <f>D55*C55</f>
        <v>35798.400000000001</v>
      </c>
    </row>
    <row r="56" spans="1:6" ht="17.25" customHeight="1" thickBot="1" x14ac:dyDescent="0.45">
      <c r="A56" s="68" t="s">
        <v>8</v>
      </c>
      <c r="B56" s="6"/>
      <c r="C56" s="6"/>
      <c r="D56" s="61"/>
      <c r="E56" s="89">
        <f>E55</f>
        <v>35798.400000000001</v>
      </c>
    </row>
    <row r="57" spans="1:6" s="39" customFormat="1" ht="15" x14ac:dyDescent="0.4">
      <c r="A57" s="34" t="s">
        <v>105</v>
      </c>
      <c r="B57" s="35"/>
      <c r="C57" s="36"/>
      <c r="D57" s="37"/>
      <c r="E57" s="38"/>
    </row>
    <row r="58" spans="1:6" s="39" customFormat="1" ht="16.5" customHeight="1" x14ac:dyDescent="0.4">
      <c r="A58" s="94" t="s">
        <v>116</v>
      </c>
      <c r="B58" s="95" t="s">
        <v>106</v>
      </c>
      <c r="C58" s="163">
        <f>'СР (материалы ТН)'!C58</f>
        <v>1029.204</v>
      </c>
      <c r="D58" s="164">
        <v>26.44</v>
      </c>
      <c r="E58" s="69">
        <f>C58*D58</f>
        <v>27212.153760000001</v>
      </c>
      <c r="F58" s="40"/>
    </row>
    <row r="59" spans="1:6" s="39" customFormat="1" ht="16.5" customHeight="1" thickBot="1" x14ac:dyDescent="0.45">
      <c r="A59" s="94" t="s">
        <v>117</v>
      </c>
      <c r="B59" s="95" t="s">
        <v>107</v>
      </c>
      <c r="C59" s="163">
        <f>'СР (материалы ТН)'!C59</f>
        <v>12</v>
      </c>
      <c r="D59" s="164">
        <v>190.36</v>
      </c>
      <c r="E59" s="69">
        <f>C59*D59</f>
        <v>2284.3200000000002</v>
      </c>
      <c r="F59" s="40"/>
    </row>
    <row r="60" spans="1:6" s="39" customFormat="1" ht="18.75" customHeight="1" thickBot="1" x14ac:dyDescent="0.45">
      <c r="A60" s="41" t="s">
        <v>108</v>
      </c>
      <c r="B60" s="42"/>
      <c r="C60" s="43"/>
      <c r="D60" s="99"/>
      <c r="E60" s="100">
        <f>E58+E59</f>
        <v>29496.473760000001</v>
      </c>
      <c r="F60" s="40"/>
    </row>
    <row r="61" spans="1:6" ht="17.25" customHeight="1" thickBot="1" x14ac:dyDescent="0.45">
      <c r="A61" s="101" t="s">
        <v>9</v>
      </c>
      <c r="B61" s="102"/>
      <c r="C61" s="102"/>
      <c r="D61" s="103"/>
      <c r="E61" s="88">
        <f>E56+E60</f>
        <v>65294.873760000002</v>
      </c>
    </row>
    <row r="62" spans="1:6" ht="17.25" customHeight="1" x14ac:dyDescent="0.4">
      <c r="A62" s="203" t="s">
        <v>140</v>
      </c>
      <c r="B62" s="200"/>
      <c r="C62" s="200"/>
      <c r="D62" s="200"/>
      <c r="E62" s="201"/>
    </row>
    <row r="63" spans="1:6" ht="16.350000000000001" customHeight="1" x14ac:dyDescent="0.4">
      <c r="A63" s="64" t="s">
        <v>5</v>
      </c>
      <c r="B63" s="2"/>
      <c r="C63" s="2"/>
      <c r="D63" s="2"/>
      <c r="E63" s="65"/>
    </row>
    <row r="64" spans="1:6" ht="34.5" customHeight="1" thickBot="1" x14ac:dyDescent="0.45">
      <c r="A64" s="66" t="s">
        <v>28</v>
      </c>
      <c r="B64" s="10" t="s">
        <v>6</v>
      </c>
      <c r="C64" s="163">
        <f>'СР (материалы ТН)'!C64</f>
        <v>0</v>
      </c>
      <c r="D64" s="164" t="str">
        <f>'СР (материалы ТН)'!D64</f>
        <v>170,00 ₽</v>
      </c>
      <c r="E64" s="92">
        <f>D64*C64</f>
        <v>0</v>
      </c>
    </row>
    <row r="65" spans="1:8" ht="17.25" customHeight="1" thickBot="1" x14ac:dyDescent="0.45">
      <c r="A65" s="68" t="s">
        <v>8</v>
      </c>
      <c r="B65" s="6"/>
      <c r="C65" s="6"/>
      <c r="D65" s="61"/>
      <c r="E65" s="89">
        <f>E64</f>
        <v>0</v>
      </c>
    </row>
    <row r="66" spans="1:8" ht="17.25" customHeight="1" thickBot="1" x14ac:dyDescent="0.45">
      <c r="A66" s="70" t="s">
        <v>9</v>
      </c>
      <c r="B66" s="71"/>
      <c r="C66" s="71"/>
      <c r="D66" s="72"/>
      <c r="E66" s="88">
        <f>E65</f>
        <v>0</v>
      </c>
    </row>
    <row r="67" spans="1:8" ht="21.2" customHeight="1" x14ac:dyDescent="0.4">
      <c r="A67" s="199" t="s">
        <v>30</v>
      </c>
      <c r="B67" s="200"/>
      <c r="C67" s="200"/>
      <c r="D67" s="200"/>
      <c r="E67" s="201"/>
    </row>
    <row r="68" spans="1:8" ht="16.350000000000001" customHeight="1" x14ac:dyDescent="0.4">
      <c r="A68" s="64" t="s">
        <v>5</v>
      </c>
      <c r="B68" s="2"/>
      <c r="C68" s="2"/>
      <c r="D68" s="2"/>
      <c r="E68" s="65"/>
    </row>
    <row r="69" spans="1:8" ht="34.5" customHeight="1" thickBot="1" x14ac:dyDescent="0.45">
      <c r="A69" s="66" t="s">
        <v>31</v>
      </c>
      <c r="B69" s="10" t="s">
        <v>6</v>
      </c>
      <c r="C69" s="163">
        <f>'СР (материалы ТН)'!C69</f>
        <v>1118.3999999999999</v>
      </c>
      <c r="D69" s="164" t="str">
        <f>'СР (материалы ТН)'!D69</f>
        <v>165,00 ₽</v>
      </c>
      <c r="E69" s="92">
        <f>D69*C69</f>
        <v>184535.99999999997</v>
      </c>
    </row>
    <row r="70" spans="1:8" ht="17.25" customHeight="1" thickBot="1" x14ac:dyDescent="0.45">
      <c r="A70" s="68" t="s">
        <v>8</v>
      </c>
      <c r="B70" s="6"/>
      <c r="C70" s="6"/>
      <c r="D70" s="61"/>
      <c r="E70" s="89">
        <f>E69</f>
        <v>184535.99999999997</v>
      </c>
    </row>
    <row r="71" spans="1:8" s="39" customFormat="1" ht="15" x14ac:dyDescent="0.4">
      <c r="A71" s="34" t="s">
        <v>105</v>
      </c>
      <c r="B71" s="35"/>
      <c r="C71" s="36"/>
      <c r="D71" s="37"/>
      <c r="E71" s="38"/>
    </row>
    <row r="72" spans="1:8" s="39" customFormat="1" ht="15" x14ac:dyDescent="0.4">
      <c r="A72" s="119" t="s">
        <v>118</v>
      </c>
      <c r="B72" s="150" t="s">
        <v>110</v>
      </c>
      <c r="C72" s="163">
        <f>'СР (материалы ТН)'!C72</f>
        <v>57.5976</v>
      </c>
      <c r="D72" s="164">
        <f>'СР (материалы ТН)'!D72</f>
        <v>16112</v>
      </c>
      <c r="E72" s="69">
        <f>C72*D72</f>
        <v>928012.53119999997</v>
      </c>
      <c r="G72" s="40" t="s">
        <v>147</v>
      </c>
    </row>
    <row r="73" spans="1:8" s="39" customFormat="1" ht="16.5" customHeight="1" x14ac:dyDescent="0.4">
      <c r="A73" s="113" t="s">
        <v>134</v>
      </c>
      <c r="B73" s="151" t="s">
        <v>107</v>
      </c>
      <c r="C73" s="163">
        <f>'СР (материалы ТН)'!C73</f>
        <v>5591.9999999999991</v>
      </c>
      <c r="D73" s="164">
        <v>3.46</v>
      </c>
      <c r="E73" s="69">
        <f>C73*D73</f>
        <v>19348.319999999996</v>
      </c>
      <c r="G73" s="162">
        <f>18*48*1.03*0.05+3</f>
        <v>47.496000000000009</v>
      </c>
      <c r="H73" s="40" t="s">
        <v>110</v>
      </c>
    </row>
    <row r="74" spans="1:8" s="39" customFormat="1" ht="16.5" customHeight="1" thickBot="1" x14ac:dyDescent="0.45">
      <c r="A74" s="113" t="s">
        <v>135</v>
      </c>
      <c r="B74" s="151" t="s">
        <v>107</v>
      </c>
      <c r="C74" s="163">
        <f>'СР (материалы ТН)'!C74</f>
        <v>5591.9999999999991</v>
      </c>
      <c r="D74" s="164">
        <v>6.53</v>
      </c>
      <c r="E74" s="69">
        <f>C74*D74</f>
        <v>36515.759999999995</v>
      </c>
      <c r="G74" s="40"/>
      <c r="H74" s="40"/>
    </row>
    <row r="75" spans="1:8" s="39" customFormat="1" ht="15.4" thickBot="1" x14ac:dyDescent="0.45">
      <c r="A75" s="41" t="s">
        <v>108</v>
      </c>
      <c r="B75" s="42"/>
      <c r="C75" s="43"/>
      <c r="D75" s="99"/>
      <c r="E75" s="100">
        <f>SUM(E72:E74)</f>
        <v>983876.61119999993</v>
      </c>
    </row>
    <row r="76" spans="1:8" ht="17.25" customHeight="1" thickBot="1" x14ac:dyDescent="0.45">
      <c r="A76" s="70" t="s">
        <v>9</v>
      </c>
      <c r="B76" s="71"/>
      <c r="C76" s="71"/>
      <c r="D76" s="72"/>
      <c r="E76" s="88">
        <f>E70+E75</f>
        <v>1168412.6111999999</v>
      </c>
    </row>
    <row r="77" spans="1:8" ht="17.25" customHeight="1" x14ac:dyDescent="0.4">
      <c r="A77" s="199" t="s">
        <v>33</v>
      </c>
      <c r="B77" s="200"/>
      <c r="C77" s="200"/>
      <c r="D77" s="200"/>
      <c r="E77" s="201"/>
    </row>
    <row r="78" spans="1:8" ht="16.350000000000001" customHeight="1" x14ac:dyDescent="0.4">
      <c r="A78" s="64" t="s">
        <v>5</v>
      </c>
      <c r="B78" s="2"/>
      <c r="C78" s="2"/>
      <c r="D78" s="2"/>
      <c r="E78" s="65"/>
    </row>
    <row r="79" spans="1:8" ht="47.25" customHeight="1" thickBot="1" x14ac:dyDescent="0.45">
      <c r="A79" s="66" t="s">
        <v>34</v>
      </c>
      <c r="B79" s="10" t="s">
        <v>6</v>
      </c>
      <c r="C79" s="163">
        <f>'СР (материалы ТН)'!C79</f>
        <v>1128</v>
      </c>
      <c r="D79" s="164" t="str">
        <f>'СР (материалы ТН)'!D79</f>
        <v>190,00 ₽</v>
      </c>
      <c r="E79" s="147">
        <f>C79*D79</f>
        <v>214320</v>
      </c>
    </row>
    <row r="80" spans="1:8" ht="17.25" customHeight="1" thickBot="1" x14ac:dyDescent="0.45">
      <c r="A80" s="68" t="s">
        <v>8</v>
      </c>
      <c r="B80" s="6"/>
      <c r="C80" s="6"/>
      <c r="D80" s="61"/>
      <c r="E80" s="148">
        <f>E79</f>
        <v>214320</v>
      </c>
    </row>
    <row r="81" spans="1:8" s="39" customFormat="1" ht="15" x14ac:dyDescent="0.4">
      <c r="A81" s="34" t="s">
        <v>105</v>
      </c>
      <c r="B81" s="35"/>
      <c r="C81" s="36"/>
      <c r="D81" s="37"/>
      <c r="E81" s="38"/>
    </row>
    <row r="82" spans="1:8" s="39" customFormat="1" ht="15" x14ac:dyDescent="0.4">
      <c r="A82" s="54" t="s">
        <v>141</v>
      </c>
      <c r="B82" s="35" t="s">
        <v>106</v>
      </c>
      <c r="C82" s="163">
        <f>'СР (материалы ТН)'!C82</f>
        <v>1331.04</v>
      </c>
      <c r="D82" s="164">
        <f>'СР (материалы ТН)'!D82</f>
        <v>931</v>
      </c>
      <c r="E82" s="156">
        <f>C82*D82</f>
        <v>1239198.24</v>
      </c>
      <c r="G82" s="40"/>
    </row>
    <row r="83" spans="1:8" s="39" customFormat="1" ht="16.5" customHeight="1" x14ac:dyDescent="0.4">
      <c r="A83" s="113" t="s">
        <v>134</v>
      </c>
      <c r="B83" s="151" t="s">
        <v>107</v>
      </c>
      <c r="C83" s="163">
        <f>'СР (материалы ТН)'!C83</f>
        <v>5640</v>
      </c>
      <c r="D83" s="164">
        <f>D73</f>
        <v>3.46</v>
      </c>
      <c r="E83" s="69">
        <f>C83*D83</f>
        <v>19514.400000000001</v>
      </c>
      <c r="G83" s="40"/>
      <c r="H83" s="40"/>
    </row>
    <row r="84" spans="1:8" s="39" customFormat="1" ht="16.5" customHeight="1" x14ac:dyDescent="0.4">
      <c r="A84" s="113" t="s">
        <v>135</v>
      </c>
      <c r="B84" s="151" t="s">
        <v>107</v>
      </c>
      <c r="C84" s="163">
        <f>'СР (материалы ТН)'!C84</f>
        <v>5640</v>
      </c>
      <c r="D84" s="164">
        <f>D74</f>
        <v>6.53</v>
      </c>
      <c r="E84" s="69">
        <f>C84*D84</f>
        <v>36829.200000000004</v>
      </c>
      <c r="G84" s="40"/>
      <c r="H84" s="40"/>
    </row>
    <row r="85" spans="1:8" s="39" customFormat="1" ht="15.4" thickBot="1" x14ac:dyDescent="0.45">
      <c r="A85" s="94" t="s">
        <v>119</v>
      </c>
      <c r="B85" s="107" t="s">
        <v>107</v>
      </c>
      <c r="C85" s="163">
        <f>'СР (материалы ТН)'!C85</f>
        <v>5</v>
      </c>
      <c r="D85" s="164">
        <v>4508.67</v>
      </c>
      <c r="E85" s="110">
        <f>C85*D85</f>
        <v>22543.35</v>
      </c>
    </row>
    <row r="86" spans="1:8" s="39" customFormat="1" ht="15.4" thickBot="1" x14ac:dyDescent="0.45">
      <c r="A86" s="41" t="s">
        <v>108</v>
      </c>
      <c r="B86" s="42"/>
      <c r="C86" s="43"/>
      <c r="D86" s="99"/>
      <c r="E86" s="100">
        <f>SUM(E82:E85)</f>
        <v>1318085.19</v>
      </c>
    </row>
    <row r="87" spans="1:8" ht="17.25" customHeight="1" thickBot="1" x14ac:dyDescent="0.45">
      <c r="A87" s="70" t="s">
        <v>9</v>
      </c>
      <c r="B87" s="71"/>
      <c r="C87" s="71"/>
      <c r="D87" s="72"/>
      <c r="E87" s="109">
        <f>E80+E86</f>
        <v>1532405.19</v>
      </c>
    </row>
    <row r="88" spans="1:8" ht="17.25" customHeight="1" x14ac:dyDescent="0.4">
      <c r="A88" s="227" t="s">
        <v>36</v>
      </c>
      <c r="B88" s="228"/>
      <c r="C88" s="228"/>
      <c r="D88" s="228"/>
      <c r="E88" s="229"/>
    </row>
    <row r="89" spans="1:8" ht="16.350000000000001" customHeight="1" x14ac:dyDescent="0.4">
      <c r="A89" s="1" t="s">
        <v>5</v>
      </c>
      <c r="B89" s="2"/>
      <c r="C89" s="2"/>
      <c r="D89" s="2"/>
      <c r="E89" s="2"/>
    </row>
    <row r="90" spans="1:8" ht="27.95" customHeight="1" thickBot="1" x14ac:dyDescent="0.45">
      <c r="A90" s="3" t="s">
        <v>37</v>
      </c>
      <c r="B90" s="3" t="s">
        <v>12</v>
      </c>
      <c r="C90" s="163">
        <f>'СР (материалы ТН)'!C90</f>
        <v>36</v>
      </c>
      <c r="D90" s="164" t="str">
        <f>'СР (материалы ТН)'!D90</f>
        <v>375,00 ₽</v>
      </c>
      <c r="E90" s="146">
        <f>D90*C90</f>
        <v>13500</v>
      </c>
    </row>
    <row r="91" spans="1:8" ht="20.100000000000001" customHeight="1" thickBot="1" x14ac:dyDescent="0.45">
      <c r="A91" s="5" t="s">
        <v>8</v>
      </c>
      <c r="B91" s="6"/>
      <c r="C91" s="6"/>
      <c r="D91" s="61"/>
      <c r="E91" s="89">
        <f>E90</f>
        <v>13500</v>
      </c>
    </row>
    <row r="92" spans="1:8" s="39" customFormat="1" ht="15" x14ac:dyDescent="0.4">
      <c r="A92" s="34" t="s">
        <v>105</v>
      </c>
      <c r="B92" s="35"/>
      <c r="C92" s="111"/>
      <c r="D92" s="51"/>
      <c r="E92" s="112"/>
    </row>
    <row r="93" spans="1:8" s="39" customFormat="1" ht="15" x14ac:dyDescent="0.4">
      <c r="A93" s="113" t="s">
        <v>142</v>
      </c>
      <c r="B93" s="114" t="s">
        <v>106</v>
      </c>
      <c r="C93" s="163">
        <f>'СР (материалы ТН)'!C93</f>
        <v>50.975999999999992</v>
      </c>
      <c r="D93" s="164">
        <f>'СР (материалы ТН)'!D93</f>
        <v>931</v>
      </c>
      <c r="E93" s="155">
        <f>C93*D93</f>
        <v>47458.655999999995</v>
      </c>
      <c r="G93" s="40"/>
    </row>
    <row r="94" spans="1:8" s="39" customFormat="1" ht="15.4" thickBot="1" x14ac:dyDescent="0.45">
      <c r="A94" s="54" t="s">
        <v>126</v>
      </c>
      <c r="B94" s="107" t="s">
        <v>106</v>
      </c>
      <c r="C94" s="163">
        <f>'СР (материалы ТН)'!C94</f>
        <v>7</v>
      </c>
      <c r="D94" s="164">
        <f>'СР (материалы ТН)'!D94</f>
        <v>1350</v>
      </c>
      <c r="E94" s="52">
        <f>C94*D94</f>
        <v>9450</v>
      </c>
      <c r="G94" s="40"/>
    </row>
    <row r="95" spans="1:8" s="39" customFormat="1" ht="15.4" thickBot="1" x14ac:dyDescent="0.45">
      <c r="A95" s="41" t="s">
        <v>108</v>
      </c>
      <c r="B95" s="42"/>
      <c r="C95" s="43"/>
      <c r="D95" s="99"/>
      <c r="E95" s="100">
        <f>SUM(E93:E94)</f>
        <v>56908.655999999995</v>
      </c>
    </row>
    <row r="96" spans="1:8" ht="17.25" customHeight="1" thickBot="1" x14ac:dyDescent="0.45">
      <c r="A96" s="104" t="s">
        <v>9</v>
      </c>
      <c r="B96" s="105"/>
      <c r="C96" s="105"/>
      <c r="D96" s="106"/>
      <c r="E96" s="88">
        <f>E91+E95</f>
        <v>70408.655999999988</v>
      </c>
    </row>
    <row r="97" spans="1:7" ht="17.25" customHeight="1" x14ac:dyDescent="0.4">
      <c r="A97" s="199" t="s">
        <v>39</v>
      </c>
      <c r="B97" s="200"/>
      <c r="C97" s="200"/>
      <c r="D97" s="200"/>
      <c r="E97" s="201"/>
    </row>
    <row r="98" spans="1:7" ht="16.5" customHeight="1" x14ac:dyDescent="0.4">
      <c r="A98" s="64" t="s">
        <v>5</v>
      </c>
      <c r="B98" s="2"/>
      <c r="C98" s="2"/>
      <c r="D98" s="2"/>
      <c r="E98" s="65"/>
    </row>
    <row r="99" spans="1:7" ht="17.25" customHeight="1" thickBot="1" x14ac:dyDescent="0.45">
      <c r="A99" s="66" t="s">
        <v>40</v>
      </c>
      <c r="B99" s="3" t="s">
        <v>12</v>
      </c>
      <c r="C99" s="163">
        <f>'СР (материалы ТН)'!C99</f>
        <v>72</v>
      </c>
      <c r="D99" s="164" t="str">
        <f>'СР (материалы ТН)'!D99</f>
        <v>40,00 ₽</v>
      </c>
      <c r="E99" s="91">
        <f>C99*D99</f>
        <v>2880</v>
      </c>
    </row>
    <row r="100" spans="1:7" ht="17.25" customHeight="1" thickBot="1" x14ac:dyDescent="0.45">
      <c r="A100" s="68" t="s">
        <v>8</v>
      </c>
      <c r="B100" s="6"/>
      <c r="C100" s="6"/>
      <c r="D100" s="61"/>
      <c r="E100" s="89">
        <f>E99</f>
        <v>2880</v>
      </c>
    </row>
    <row r="101" spans="1:7" s="39" customFormat="1" ht="15" x14ac:dyDescent="0.4">
      <c r="A101" s="34" t="s">
        <v>105</v>
      </c>
      <c r="B101" s="35"/>
      <c r="C101" s="111"/>
      <c r="D101" s="51"/>
      <c r="E101" s="112"/>
    </row>
    <row r="102" spans="1:7" s="39" customFormat="1" ht="15" x14ac:dyDescent="0.4">
      <c r="A102" s="94" t="s">
        <v>120</v>
      </c>
      <c r="B102" s="107" t="s">
        <v>121</v>
      </c>
      <c r="C102" s="163">
        <f>'СР (материалы ТН)'!C102</f>
        <v>36</v>
      </c>
      <c r="D102" s="164">
        <v>75.66</v>
      </c>
      <c r="E102" s="157">
        <f>C102*D102</f>
        <v>2723.7599999999998</v>
      </c>
      <c r="G102" s="40"/>
    </row>
    <row r="103" spans="1:7" s="39" customFormat="1" ht="15" x14ac:dyDescent="0.4">
      <c r="A103" s="94" t="s">
        <v>122</v>
      </c>
      <c r="B103" s="107" t="s">
        <v>121</v>
      </c>
      <c r="C103" s="163">
        <f>'СР (материалы ТН)'!C103</f>
        <v>36</v>
      </c>
      <c r="D103" s="164">
        <v>83.8</v>
      </c>
      <c r="E103" s="52">
        <f>C103*D103</f>
        <v>3016.7999999999997</v>
      </c>
      <c r="G103" s="40"/>
    </row>
    <row r="104" spans="1:7" s="39" customFormat="1" ht="15" x14ac:dyDescent="0.4">
      <c r="A104" s="115" t="s">
        <v>123</v>
      </c>
      <c r="B104" s="116" t="s">
        <v>107</v>
      </c>
      <c r="C104" s="163">
        <f>'СР (материалы ТН)'!C104</f>
        <v>360</v>
      </c>
      <c r="D104" s="164">
        <v>5.07</v>
      </c>
      <c r="E104" s="52">
        <f>C104*D104</f>
        <v>1825.2</v>
      </c>
      <c r="G104" s="40"/>
    </row>
    <row r="105" spans="1:7" s="39" customFormat="1" ht="15.4" thickBot="1" x14ac:dyDescent="0.45">
      <c r="A105" s="94" t="s">
        <v>124</v>
      </c>
      <c r="B105" s="107" t="s">
        <v>107</v>
      </c>
      <c r="C105" s="163">
        <f>'СР (материалы ТН)'!C105</f>
        <v>9</v>
      </c>
      <c r="D105" s="164">
        <v>449.4</v>
      </c>
      <c r="E105" s="52">
        <f>C105*D105</f>
        <v>4044.6</v>
      </c>
      <c r="G105" s="40"/>
    </row>
    <row r="106" spans="1:7" s="39" customFormat="1" ht="15.4" thickBot="1" x14ac:dyDescent="0.45">
      <c r="A106" s="41" t="s">
        <v>108</v>
      </c>
      <c r="B106" s="42"/>
      <c r="C106" s="43"/>
      <c r="D106" s="99"/>
      <c r="E106" s="100">
        <f>SUM(E102:E105)</f>
        <v>11610.359999999999</v>
      </c>
    </row>
    <row r="107" spans="1:7" ht="15.4" thickBot="1" x14ac:dyDescent="0.45">
      <c r="A107" s="101" t="s">
        <v>9</v>
      </c>
      <c r="B107" s="102"/>
      <c r="C107" s="102"/>
      <c r="D107" s="103"/>
      <c r="E107" s="88">
        <f>E100+E106</f>
        <v>14490.359999999999</v>
      </c>
    </row>
    <row r="108" spans="1:7" ht="15" x14ac:dyDescent="0.4">
      <c r="A108" s="199" t="s">
        <v>41</v>
      </c>
      <c r="B108" s="200"/>
      <c r="C108" s="200"/>
      <c r="D108" s="200"/>
      <c r="E108" s="201"/>
    </row>
    <row r="109" spans="1:7" ht="13.9" x14ac:dyDescent="0.4">
      <c r="A109" s="64" t="s">
        <v>5</v>
      </c>
      <c r="B109" s="2"/>
      <c r="C109" s="2"/>
      <c r="D109" s="2"/>
      <c r="E109" s="65"/>
    </row>
    <row r="110" spans="1:7" ht="15.4" thickBot="1" x14ac:dyDescent="0.45">
      <c r="A110" s="66" t="s">
        <v>42</v>
      </c>
      <c r="B110" s="3" t="s">
        <v>21</v>
      </c>
      <c r="C110" s="163">
        <f>'СР (материалы ТН)'!C110</f>
        <v>6</v>
      </c>
      <c r="D110" s="164" t="str">
        <f>'СР (материалы ТН)'!D110</f>
        <v>2 920,00 ₽</v>
      </c>
      <c r="E110" s="91">
        <f>C110*D110</f>
        <v>17520</v>
      </c>
    </row>
    <row r="111" spans="1:7" ht="15.4" thickBot="1" x14ac:dyDescent="0.45">
      <c r="A111" s="68" t="s">
        <v>8</v>
      </c>
      <c r="B111" s="6"/>
      <c r="C111" s="6"/>
      <c r="D111" s="61"/>
      <c r="E111" s="89">
        <f>E110</f>
        <v>17520</v>
      </c>
    </row>
    <row r="112" spans="1:7" s="39" customFormat="1" ht="15" x14ac:dyDescent="0.4">
      <c r="A112" s="34" t="s">
        <v>105</v>
      </c>
      <c r="B112" s="35"/>
      <c r="C112" s="36"/>
      <c r="D112" s="46"/>
      <c r="E112" s="47"/>
    </row>
    <row r="113" spans="1:6" s="123" customFormat="1" ht="15" x14ac:dyDescent="0.4">
      <c r="A113" s="119" t="s">
        <v>136</v>
      </c>
      <c r="B113" s="120" t="s">
        <v>110</v>
      </c>
      <c r="C113" s="163">
        <f>'СР (материалы ТН)'!C113</f>
        <v>0.2268</v>
      </c>
      <c r="D113" s="164">
        <f>'СР (материалы ТН)'!D113</f>
        <v>16112</v>
      </c>
      <c r="E113" s="122">
        <f t="shared" ref="E113:E119" si="2">C113*D113</f>
        <v>3654.2015999999999</v>
      </c>
      <c r="F113" s="39"/>
    </row>
    <row r="114" spans="1:6" s="39" customFormat="1" ht="16.5" customHeight="1" x14ac:dyDescent="0.4">
      <c r="A114" s="54" t="s">
        <v>125</v>
      </c>
      <c r="B114" s="35" t="s">
        <v>106</v>
      </c>
      <c r="C114" s="163">
        <f>'СР (материалы ТН)'!C114</f>
        <v>6</v>
      </c>
      <c r="D114" s="164">
        <f>'СР (материалы ТН)'!D114</f>
        <v>931</v>
      </c>
      <c r="E114" s="122">
        <f t="shared" si="2"/>
        <v>5586</v>
      </c>
    </row>
    <row r="115" spans="1:6" s="39" customFormat="1" ht="16.5" customHeight="1" x14ac:dyDescent="0.4">
      <c r="A115" s="54" t="s">
        <v>126</v>
      </c>
      <c r="B115" s="35" t="s">
        <v>106</v>
      </c>
      <c r="C115" s="163">
        <f>'СР (материалы ТН)'!C115</f>
        <v>9.6000000000000014</v>
      </c>
      <c r="D115" s="164">
        <f>'СР (материалы ТН)'!D115</f>
        <v>1350</v>
      </c>
      <c r="E115" s="122">
        <f t="shared" si="2"/>
        <v>12960.000000000002</v>
      </c>
    </row>
    <row r="116" spans="1:6" s="39" customFormat="1" ht="16.5" customHeight="1" x14ac:dyDescent="0.4">
      <c r="A116" s="54" t="s">
        <v>127</v>
      </c>
      <c r="B116" s="35" t="s">
        <v>107</v>
      </c>
      <c r="C116" s="163">
        <f>'СР (материалы ТН)'!C116</f>
        <v>120</v>
      </c>
      <c r="D116" s="164">
        <v>3.81</v>
      </c>
      <c r="E116" s="122">
        <f t="shared" si="2"/>
        <v>457.2</v>
      </c>
    </row>
    <row r="117" spans="1:6" s="39" customFormat="1" ht="16.5" customHeight="1" x14ac:dyDescent="0.4">
      <c r="A117" s="54" t="s">
        <v>128</v>
      </c>
      <c r="B117" s="35" t="s">
        <v>129</v>
      </c>
      <c r="C117" s="163">
        <f>'СР (материалы ТН)'!C117</f>
        <v>9</v>
      </c>
      <c r="D117" s="164">
        <f>D103</f>
        <v>83.8</v>
      </c>
      <c r="E117" s="122">
        <f t="shared" si="2"/>
        <v>754.19999999999993</v>
      </c>
    </row>
    <row r="118" spans="1:6" s="39" customFormat="1" ht="16.5" customHeight="1" x14ac:dyDescent="0.4">
      <c r="A118" s="54" t="s">
        <v>131</v>
      </c>
      <c r="B118" s="35" t="s">
        <v>107</v>
      </c>
      <c r="C118" s="163">
        <f>'СР (материалы ТН)'!C118</f>
        <v>120</v>
      </c>
      <c r="D118" s="164">
        <f>D104</f>
        <v>5.07</v>
      </c>
      <c r="E118" s="122">
        <f t="shared" si="2"/>
        <v>608.40000000000009</v>
      </c>
    </row>
    <row r="119" spans="1:6" s="39" customFormat="1" ht="16.5" customHeight="1" thickBot="1" x14ac:dyDescent="0.45">
      <c r="A119" s="54" t="s">
        <v>130</v>
      </c>
      <c r="B119" s="35" t="s">
        <v>107</v>
      </c>
      <c r="C119" s="163">
        <f>'СР (материалы ТН)'!C119</f>
        <v>2.25</v>
      </c>
      <c r="D119" s="164">
        <f>D105</f>
        <v>449.4</v>
      </c>
      <c r="E119" s="126">
        <f t="shared" si="2"/>
        <v>1011.15</v>
      </c>
    </row>
    <row r="120" spans="1:6" s="39" customFormat="1" ht="18.75" customHeight="1" thickBot="1" x14ac:dyDescent="0.45">
      <c r="A120" s="41" t="s">
        <v>108</v>
      </c>
      <c r="B120" s="42"/>
      <c r="C120" s="43"/>
      <c r="D120" s="44"/>
      <c r="E120" s="60">
        <f>SUM(E113:E119)</f>
        <v>25031.151600000005</v>
      </c>
    </row>
    <row r="121" spans="1:6" ht="15.4" thickBot="1" x14ac:dyDescent="0.45">
      <c r="A121" s="70" t="s">
        <v>9</v>
      </c>
      <c r="B121" s="71"/>
      <c r="C121" s="71"/>
      <c r="D121" s="72"/>
      <c r="E121" s="88">
        <f>E111+E120</f>
        <v>42551.151600000005</v>
      </c>
    </row>
    <row r="122" spans="1:6" ht="15" x14ac:dyDescent="0.4">
      <c r="A122" s="199" t="s">
        <v>44</v>
      </c>
      <c r="B122" s="200"/>
      <c r="C122" s="200"/>
      <c r="D122" s="200"/>
      <c r="E122" s="201"/>
    </row>
    <row r="123" spans="1:6" ht="13.9" x14ac:dyDescent="0.4">
      <c r="A123" s="64" t="s">
        <v>5</v>
      </c>
      <c r="B123" s="2"/>
      <c r="C123" s="2"/>
      <c r="D123" s="2"/>
      <c r="E123" s="65"/>
    </row>
    <row r="124" spans="1:6" ht="15.4" thickBot="1" x14ac:dyDescent="0.45">
      <c r="A124" s="66" t="s">
        <v>45</v>
      </c>
      <c r="B124" s="3" t="s">
        <v>21</v>
      </c>
      <c r="C124" s="163">
        <f>'СР (материалы ТН)'!C124</f>
        <v>0</v>
      </c>
      <c r="D124" s="164" t="str">
        <f>'СР (материалы ТН)'!D124</f>
        <v>2 080,00 ₽</v>
      </c>
      <c r="E124" s="91">
        <f>C124*D124</f>
        <v>0</v>
      </c>
    </row>
    <row r="125" spans="1:6" ht="15.4" thickBot="1" x14ac:dyDescent="0.45">
      <c r="A125" s="68" t="s">
        <v>8</v>
      </c>
      <c r="B125" s="6"/>
      <c r="C125" s="6"/>
      <c r="D125" s="61"/>
      <c r="E125" s="89">
        <f>E124</f>
        <v>0</v>
      </c>
    </row>
    <row r="126" spans="1:6" ht="15.4" thickBot="1" x14ac:dyDescent="0.45">
      <c r="A126" s="70" t="s">
        <v>9</v>
      </c>
      <c r="B126" s="71"/>
      <c r="C126" s="71"/>
      <c r="D126" s="72"/>
      <c r="E126" s="88">
        <f>E125</f>
        <v>0</v>
      </c>
    </row>
    <row r="127" spans="1:6" ht="15" x14ac:dyDescent="0.4">
      <c r="A127" s="199" t="s">
        <v>47</v>
      </c>
      <c r="B127" s="200"/>
      <c r="C127" s="200"/>
      <c r="D127" s="200"/>
      <c r="E127" s="201"/>
    </row>
    <row r="128" spans="1:6" ht="13.9" x14ac:dyDescent="0.4">
      <c r="A128" s="64" t="s">
        <v>5</v>
      </c>
      <c r="B128" s="2"/>
      <c r="C128" s="2"/>
      <c r="D128" s="2"/>
      <c r="E128" s="65"/>
    </row>
    <row r="129" spans="1:5" ht="15.4" thickBot="1" x14ac:dyDescent="0.45">
      <c r="A129" s="66" t="s">
        <v>48</v>
      </c>
      <c r="B129" s="3" t="s">
        <v>21</v>
      </c>
      <c r="C129" s="163">
        <f>'СР (материалы ТН)'!C129</f>
        <v>0</v>
      </c>
      <c r="D129" s="164">
        <f>'СР (материалы ТН)'!D129</f>
        <v>3330</v>
      </c>
      <c r="E129" s="149">
        <f>C129*D129</f>
        <v>0</v>
      </c>
    </row>
    <row r="130" spans="1:5" ht="15.4" thickBot="1" x14ac:dyDescent="0.45">
      <c r="A130" s="68" t="s">
        <v>8</v>
      </c>
      <c r="B130" s="6"/>
      <c r="C130" s="6"/>
      <c r="D130" s="61"/>
      <c r="E130" s="144">
        <f>E129</f>
        <v>0</v>
      </c>
    </row>
    <row r="131" spans="1:5" ht="15.4" thickBot="1" x14ac:dyDescent="0.45">
      <c r="A131" s="70" t="s">
        <v>9</v>
      </c>
      <c r="B131" s="71"/>
      <c r="C131" s="71"/>
      <c r="D131" s="72"/>
      <c r="E131" s="145">
        <f>E130</f>
        <v>0</v>
      </c>
    </row>
    <row r="132" spans="1:5" ht="15" x14ac:dyDescent="0.4">
      <c r="A132" s="199" t="s">
        <v>49</v>
      </c>
      <c r="B132" s="200"/>
      <c r="C132" s="200"/>
      <c r="D132" s="200"/>
      <c r="E132" s="201"/>
    </row>
    <row r="133" spans="1:5" ht="13.9" x14ac:dyDescent="0.4">
      <c r="A133" s="64" t="s">
        <v>5</v>
      </c>
      <c r="B133" s="2"/>
      <c r="C133" s="2"/>
      <c r="D133" s="2"/>
      <c r="E133" s="65"/>
    </row>
    <row r="134" spans="1:5" ht="15.4" thickBot="1" x14ac:dyDescent="0.45">
      <c r="A134" s="66" t="s">
        <v>50</v>
      </c>
      <c r="B134" s="3" t="s">
        <v>21</v>
      </c>
      <c r="C134" s="163">
        <f>'СР (материалы ТН)'!C134</f>
        <v>0</v>
      </c>
      <c r="D134" s="164" t="str">
        <f>'СР (материалы ТН)'!D134</f>
        <v>2 916,00 ₽</v>
      </c>
      <c r="E134" s="91">
        <f>C134*D134</f>
        <v>0</v>
      </c>
    </row>
    <row r="135" spans="1:5" ht="15.4" thickBot="1" x14ac:dyDescent="0.45">
      <c r="A135" s="68" t="s">
        <v>8</v>
      </c>
      <c r="B135" s="6"/>
      <c r="C135" s="6"/>
      <c r="D135" s="61"/>
      <c r="E135" s="89">
        <f>E134</f>
        <v>0</v>
      </c>
    </row>
    <row r="136" spans="1:5" ht="15.4" thickBot="1" x14ac:dyDescent="0.45">
      <c r="A136" s="70" t="s">
        <v>9</v>
      </c>
      <c r="B136" s="71"/>
      <c r="C136" s="71"/>
      <c r="D136" s="72"/>
      <c r="E136" s="88">
        <f>E135</f>
        <v>0</v>
      </c>
    </row>
    <row r="137" spans="1:5" ht="15" x14ac:dyDescent="0.4">
      <c r="A137" s="199" t="s">
        <v>52</v>
      </c>
      <c r="B137" s="200"/>
      <c r="C137" s="200"/>
      <c r="D137" s="200"/>
      <c r="E137" s="201"/>
    </row>
    <row r="138" spans="1:5" ht="13.9" x14ac:dyDescent="0.4">
      <c r="A138" s="64" t="s">
        <v>5</v>
      </c>
      <c r="B138" s="2"/>
      <c r="C138" s="2"/>
      <c r="D138" s="2"/>
      <c r="E138" s="65"/>
    </row>
    <row r="139" spans="1:5" ht="15.4" thickBot="1" x14ac:dyDescent="0.45">
      <c r="A139" s="66" t="s">
        <v>53</v>
      </c>
      <c r="B139" s="3" t="s">
        <v>21</v>
      </c>
      <c r="C139" s="163">
        <f>'СР (материалы ТН)'!C139</f>
        <v>0</v>
      </c>
      <c r="D139" s="164" t="str">
        <f>'СР (материалы ТН)'!D139</f>
        <v>200,00 ₽</v>
      </c>
      <c r="E139" s="91">
        <f>D139*C139</f>
        <v>0</v>
      </c>
    </row>
    <row r="140" spans="1:5" ht="15.4" thickBot="1" x14ac:dyDescent="0.45">
      <c r="A140" s="68" t="s">
        <v>8</v>
      </c>
      <c r="B140" s="6"/>
      <c r="C140" s="6"/>
      <c r="D140" s="61"/>
      <c r="E140" s="89">
        <f>E139</f>
        <v>0</v>
      </c>
    </row>
    <row r="141" spans="1:5" ht="15.4" thickBot="1" x14ac:dyDescent="0.45">
      <c r="A141" s="70" t="s">
        <v>9</v>
      </c>
      <c r="B141" s="71"/>
      <c r="C141" s="71"/>
      <c r="D141" s="72"/>
      <c r="E141" s="88">
        <f>E140</f>
        <v>0</v>
      </c>
    </row>
    <row r="142" spans="1:5" ht="15" x14ac:dyDescent="0.4">
      <c r="A142" s="199" t="s">
        <v>54</v>
      </c>
      <c r="B142" s="200"/>
      <c r="C142" s="200"/>
      <c r="D142" s="200"/>
      <c r="E142" s="201"/>
    </row>
    <row r="143" spans="1:5" ht="13.9" x14ac:dyDescent="0.4">
      <c r="A143" s="64" t="s">
        <v>5</v>
      </c>
      <c r="B143" s="2"/>
      <c r="C143" s="2"/>
      <c r="D143" s="2"/>
      <c r="E143" s="65"/>
    </row>
    <row r="144" spans="1:5" ht="15.4" thickBot="1" x14ac:dyDescent="0.45">
      <c r="A144" s="66" t="s">
        <v>55</v>
      </c>
      <c r="B144" s="3" t="s">
        <v>21</v>
      </c>
      <c r="C144" s="163">
        <f>'СР (материалы ТН)'!C144</f>
        <v>0</v>
      </c>
      <c r="D144" s="164" t="str">
        <f>'СР (материалы ТН)'!D144</f>
        <v>2 920,00 ₽</v>
      </c>
      <c r="E144" s="91">
        <f>C144*D144</f>
        <v>0</v>
      </c>
    </row>
    <row r="145" spans="1:5" ht="15.4" thickBot="1" x14ac:dyDescent="0.45">
      <c r="A145" s="68" t="s">
        <v>8</v>
      </c>
      <c r="B145" s="6"/>
      <c r="C145" s="6"/>
      <c r="D145" s="61"/>
      <c r="E145" s="89">
        <f>E144</f>
        <v>0</v>
      </c>
    </row>
    <row r="146" spans="1:5" ht="15.4" thickBot="1" x14ac:dyDescent="0.45">
      <c r="A146" s="101" t="s">
        <v>9</v>
      </c>
      <c r="B146" s="102"/>
      <c r="C146" s="102"/>
      <c r="D146" s="103"/>
      <c r="E146" s="88">
        <f>E145</f>
        <v>0</v>
      </c>
    </row>
    <row r="147" spans="1:5" ht="15" x14ac:dyDescent="0.4">
      <c r="A147" s="199" t="s">
        <v>56</v>
      </c>
      <c r="B147" s="200"/>
      <c r="C147" s="200"/>
      <c r="D147" s="200"/>
      <c r="E147" s="201"/>
    </row>
    <row r="148" spans="1:5" ht="13.9" x14ac:dyDescent="0.4">
      <c r="A148" s="64" t="s">
        <v>5</v>
      </c>
      <c r="B148" s="2"/>
      <c r="C148" s="2"/>
      <c r="D148" s="2"/>
      <c r="E148" s="65"/>
    </row>
    <row r="149" spans="1:5" ht="15.4" thickBot="1" x14ac:dyDescent="0.45">
      <c r="A149" s="66" t="s">
        <v>57</v>
      </c>
      <c r="B149" s="3" t="s">
        <v>21</v>
      </c>
      <c r="C149" s="163">
        <f>'СР (материалы ТН)'!C149</f>
        <v>0</v>
      </c>
      <c r="D149" s="164" t="str">
        <f>'СР (материалы ТН)'!D149</f>
        <v>250,00 ₽</v>
      </c>
      <c r="E149" s="91">
        <f>C149*D149</f>
        <v>0</v>
      </c>
    </row>
    <row r="150" spans="1:5" ht="15.4" thickBot="1" x14ac:dyDescent="0.45">
      <c r="A150" s="68" t="s">
        <v>8</v>
      </c>
      <c r="B150" s="6"/>
      <c r="C150" s="6"/>
      <c r="D150" s="61"/>
      <c r="E150" s="89">
        <f>E149</f>
        <v>0</v>
      </c>
    </row>
    <row r="151" spans="1:5" ht="15.4" thickBot="1" x14ac:dyDescent="0.45">
      <c r="A151" s="70" t="s">
        <v>9</v>
      </c>
      <c r="B151" s="71"/>
      <c r="C151" s="71"/>
      <c r="D151" s="72"/>
      <c r="E151" s="88">
        <f>E150</f>
        <v>0</v>
      </c>
    </row>
    <row r="152" spans="1:5" ht="15" x14ac:dyDescent="0.4">
      <c r="A152" s="199" t="s">
        <v>59</v>
      </c>
      <c r="B152" s="200"/>
      <c r="C152" s="200"/>
      <c r="D152" s="200"/>
      <c r="E152" s="201"/>
    </row>
    <row r="153" spans="1:5" ht="13.9" x14ac:dyDescent="0.4">
      <c r="A153" s="64" t="s">
        <v>5</v>
      </c>
      <c r="B153" s="2"/>
      <c r="C153" s="2"/>
      <c r="D153" s="2"/>
      <c r="E153" s="65"/>
    </row>
    <row r="154" spans="1:5" ht="15.4" thickBot="1" x14ac:dyDescent="0.45">
      <c r="A154" s="66" t="s">
        <v>60</v>
      </c>
      <c r="B154" s="3" t="s">
        <v>21</v>
      </c>
      <c r="C154" s="163">
        <f>'СР (материалы ТН)'!C154</f>
        <v>0</v>
      </c>
      <c r="D154" s="164" t="str">
        <f>'СР (материалы ТН)'!D154</f>
        <v>1 666,00 ₽</v>
      </c>
      <c r="E154" s="91">
        <f>C154*D154</f>
        <v>0</v>
      </c>
    </row>
    <row r="155" spans="1:5" ht="15.4" thickBot="1" x14ac:dyDescent="0.45">
      <c r="A155" s="68" t="s">
        <v>8</v>
      </c>
      <c r="B155" s="6"/>
      <c r="C155" s="6"/>
      <c r="D155" s="61"/>
      <c r="E155" s="89">
        <f>E154</f>
        <v>0</v>
      </c>
    </row>
    <row r="156" spans="1:5" ht="15.4" thickBot="1" x14ac:dyDescent="0.45">
      <c r="A156" s="70" t="s">
        <v>9</v>
      </c>
      <c r="B156" s="71"/>
      <c r="C156" s="71"/>
      <c r="D156" s="72"/>
      <c r="E156" s="88">
        <f>E155</f>
        <v>0</v>
      </c>
    </row>
    <row r="157" spans="1:5" ht="15" x14ac:dyDescent="0.4">
      <c r="A157" s="199" t="s">
        <v>62</v>
      </c>
      <c r="B157" s="200"/>
      <c r="C157" s="200"/>
      <c r="D157" s="200"/>
      <c r="E157" s="201"/>
    </row>
    <row r="158" spans="1:5" ht="13.9" x14ac:dyDescent="0.4">
      <c r="A158" s="64" t="s">
        <v>5</v>
      </c>
      <c r="B158" s="2"/>
      <c r="C158" s="2"/>
      <c r="D158" s="2"/>
      <c r="E158" s="65"/>
    </row>
    <row r="159" spans="1:5" ht="15.4" thickBot="1" x14ac:dyDescent="0.45">
      <c r="A159" s="66" t="s">
        <v>63</v>
      </c>
      <c r="B159" s="3" t="s">
        <v>21</v>
      </c>
      <c r="C159" s="163">
        <f>'СР (материалы ТН)'!C159</f>
        <v>0</v>
      </c>
      <c r="D159" s="164" t="str">
        <f>'СР (материалы ТН)'!D159</f>
        <v>2 083,00 ₽</v>
      </c>
      <c r="E159" s="91">
        <f>C159*D159</f>
        <v>0</v>
      </c>
    </row>
    <row r="160" spans="1:5" ht="15.4" thickBot="1" x14ac:dyDescent="0.45">
      <c r="A160" s="68" t="s">
        <v>8</v>
      </c>
      <c r="B160" s="6"/>
      <c r="C160" s="6"/>
      <c r="D160" s="61"/>
      <c r="E160" s="89">
        <f>E159</f>
        <v>0</v>
      </c>
    </row>
    <row r="161" spans="1:5" ht="15.4" thickBot="1" x14ac:dyDescent="0.45">
      <c r="A161" s="70" t="s">
        <v>9</v>
      </c>
      <c r="B161" s="71"/>
      <c r="C161" s="71"/>
      <c r="D161" s="72"/>
      <c r="E161" s="88">
        <f>E160</f>
        <v>0</v>
      </c>
    </row>
    <row r="162" spans="1:5" ht="15" x14ac:dyDescent="0.4">
      <c r="A162" s="203" t="s">
        <v>101</v>
      </c>
      <c r="B162" s="200"/>
      <c r="C162" s="200"/>
      <c r="D162" s="200"/>
      <c r="E162" s="201"/>
    </row>
    <row r="163" spans="1:5" ht="13.9" x14ac:dyDescent="0.4">
      <c r="A163" s="64" t="s">
        <v>5</v>
      </c>
      <c r="B163" s="2"/>
      <c r="C163" s="2"/>
      <c r="D163" s="2"/>
      <c r="E163" s="65"/>
    </row>
    <row r="164" spans="1:5" ht="30.4" thickBot="1" x14ac:dyDescent="0.45">
      <c r="A164" s="90" t="s">
        <v>101</v>
      </c>
      <c r="B164" s="3" t="s">
        <v>21</v>
      </c>
      <c r="C164" s="163">
        <f>'СР (материалы ТН)'!C164</f>
        <v>0</v>
      </c>
      <c r="D164" s="164" t="str">
        <f>'СР (материалы ТН)'!D164</f>
        <v>2 916,00 ₽</v>
      </c>
      <c r="E164" s="91">
        <f>C164*D164</f>
        <v>0</v>
      </c>
    </row>
    <row r="165" spans="1:5" ht="15.4" thickBot="1" x14ac:dyDescent="0.45">
      <c r="A165" s="68" t="s">
        <v>8</v>
      </c>
      <c r="B165" s="6"/>
      <c r="C165" s="6"/>
      <c r="D165" s="61"/>
      <c r="E165" s="89">
        <f>E164</f>
        <v>0</v>
      </c>
    </row>
    <row r="166" spans="1:5" ht="15.4" thickBot="1" x14ac:dyDescent="0.45">
      <c r="A166" s="70" t="s">
        <v>9</v>
      </c>
      <c r="B166" s="71"/>
      <c r="C166" s="71"/>
      <c r="D166" s="72"/>
      <c r="E166" s="88">
        <f>E165</f>
        <v>0</v>
      </c>
    </row>
    <row r="167" spans="1:5" ht="47.25" customHeight="1" x14ac:dyDescent="0.4">
      <c r="A167" s="203" t="s">
        <v>100</v>
      </c>
      <c r="B167" s="224"/>
      <c r="C167" s="224"/>
      <c r="D167" s="224"/>
      <c r="E167" s="225"/>
    </row>
    <row r="168" spans="1:5" ht="13.9" x14ac:dyDescent="0.4">
      <c r="A168" s="64" t="s">
        <v>5</v>
      </c>
      <c r="B168" s="2"/>
      <c r="C168" s="2"/>
      <c r="D168" s="2"/>
      <c r="E168" s="65"/>
    </row>
    <row r="169" spans="1:5" ht="30.4" thickBot="1" x14ac:dyDescent="0.45">
      <c r="A169" s="90" t="s">
        <v>100</v>
      </c>
      <c r="B169" s="3" t="s">
        <v>21</v>
      </c>
      <c r="C169" s="163">
        <f>'СР (материалы ТН)'!C169</f>
        <v>0</v>
      </c>
      <c r="D169" s="164" t="str">
        <f>'СР (материалы ТН)'!D169</f>
        <v>1 666,00 ₽</v>
      </c>
      <c r="E169" s="91">
        <f>C169*D169</f>
        <v>0</v>
      </c>
    </row>
    <row r="170" spans="1:5" ht="15.4" thickBot="1" x14ac:dyDescent="0.45">
      <c r="A170" s="68" t="s">
        <v>8</v>
      </c>
      <c r="B170" s="6"/>
      <c r="C170" s="6"/>
      <c r="D170" s="61"/>
      <c r="E170" s="89">
        <f>E169</f>
        <v>0</v>
      </c>
    </row>
    <row r="171" spans="1:5" ht="15.4" thickBot="1" x14ac:dyDescent="0.45">
      <c r="A171" s="70" t="s">
        <v>9</v>
      </c>
      <c r="B171" s="71"/>
      <c r="C171" s="71"/>
      <c r="D171" s="72"/>
      <c r="E171" s="88">
        <f>E170</f>
        <v>0</v>
      </c>
    </row>
    <row r="172" spans="1:5" ht="28.5" customHeight="1" x14ac:dyDescent="0.4">
      <c r="A172" s="204" t="s">
        <v>65</v>
      </c>
      <c r="B172" s="205"/>
      <c r="C172" s="205"/>
      <c r="D172" s="205"/>
      <c r="E172" s="206"/>
    </row>
    <row r="173" spans="1:5" ht="13.9" x14ac:dyDescent="0.4">
      <c r="A173" s="64" t="s">
        <v>5</v>
      </c>
      <c r="B173" s="2"/>
      <c r="C173" s="2"/>
      <c r="D173" s="2"/>
      <c r="E173" s="65"/>
    </row>
    <row r="174" spans="1:5" ht="30.4" thickBot="1" x14ac:dyDescent="0.45">
      <c r="A174" s="86" t="s">
        <v>66</v>
      </c>
      <c r="B174" s="16" t="s">
        <v>6</v>
      </c>
      <c r="C174" s="163">
        <f>'СР (материалы ТН)'!C174</f>
        <v>0</v>
      </c>
      <c r="D174" s="164" t="str">
        <f>'СР (материалы ТН)'!D174</f>
        <v>333,00 ₽</v>
      </c>
      <c r="E174" s="143">
        <f>C174*D174</f>
        <v>0</v>
      </c>
    </row>
    <row r="175" spans="1:5" ht="15.4" thickBot="1" x14ac:dyDescent="0.45">
      <c r="A175" s="68" t="s">
        <v>8</v>
      </c>
      <c r="B175" s="6"/>
      <c r="C175" s="6"/>
      <c r="D175" s="61"/>
      <c r="E175" s="89">
        <f>E174</f>
        <v>0</v>
      </c>
    </row>
    <row r="176" spans="1:5" ht="15.4" thickBot="1" x14ac:dyDescent="0.45">
      <c r="A176" s="70" t="s">
        <v>9</v>
      </c>
      <c r="B176" s="71"/>
      <c r="C176" s="71"/>
      <c r="D176" s="72"/>
      <c r="E176" s="88">
        <f>E175</f>
        <v>0</v>
      </c>
    </row>
    <row r="177" spans="1:5" ht="15" x14ac:dyDescent="0.4">
      <c r="A177" s="199" t="s">
        <v>68</v>
      </c>
      <c r="B177" s="200"/>
      <c r="C177" s="200"/>
      <c r="D177" s="200"/>
      <c r="E177" s="207"/>
    </row>
    <row r="178" spans="1:5" ht="13.9" x14ac:dyDescent="0.4">
      <c r="A178" s="64" t="s">
        <v>5</v>
      </c>
      <c r="B178" s="2"/>
      <c r="C178" s="2"/>
      <c r="D178" s="2"/>
      <c r="E178" s="65"/>
    </row>
    <row r="179" spans="1:5" ht="15" x14ac:dyDescent="0.4">
      <c r="A179" s="66" t="s">
        <v>69</v>
      </c>
      <c r="B179" s="3" t="s">
        <v>12</v>
      </c>
      <c r="C179" s="163">
        <f>'СР (материалы ТН)'!C179</f>
        <v>0</v>
      </c>
      <c r="D179" s="164" t="str">
        <f>'СР (материалы ТН)'!D179</f>
        <v>500,00 ₽</v>
      </c>
      <c r="E179" s="118">
        <f>C179*D179</f>
        <v>0</v>
      </c>
    </row>
    <row r="180" spans="1:5" ht="15.4" thickBot="1" x14ac:dyDescent="0.45">
      <c r="A180" s="141" t="s">
        <v>71</v>
      </c>
      <c r="B180" s="136" t="s">
        <v>12</v>
      </c>
      <c r="C180" s="163">
        <f>'СР (материалы ТН)'!C180</f>
        <v>0</v>
      </c>
      <c r="D180" s="164" t="str">
        <f>'СР (материалы ТН)'!D180</f>
        <v>550,00 ₽</v>
      </c>
      <c r="E180" s="139">
        <f>C180*D180</f>
        <v>0</v>
      </c>
    </row>
    <row r="181" spans="1:5" ht="15.4" thickBot="1" x14ac:dyDescent="0.45">
      <c r="A181" s="132" t="s">
        <v>8</v>
      </c>
      <c r="B181" s="133"/>
      <c r="C181" s="133"/>
      <c r="D181" s="134"/>
      <c r="E181" s="142">
        <f>SUM(E179:E180)</f>
        <v>0</v>
      </c>
    </row>
    <row r="182" spans="1:5" ht="15.4" thickBot="1" x14ac:dyDescent="0.45">
      <c r="A182" s="83" t="s">
        <v>9</v>
      </c>
      <c r="B182" s="84"/>
      <c r="C182" s="84"/>
      <c r="D182" s="84"/>
      <c r="E182" s="140">
        <f>E181</f>
        <v>0</v>
      </c>
    </row>
    <row r="183" spans="1:5" ht="15" x14ac:dyDescent="0.4">
      <c r="A183" s="199" t="s">
        <v>73</v>
      </c>
      <c r="B183" s="200"/>
      <c r="C183" s="200"/>
      <c r="D183" s="200"/>
      <c r="E183" s="201"/>
    </row>
    <row r="184" spans="1:5" ht="13.9" x14ac:dyDescent="0.4">
      <c r="A184" s="64" t="s">
        <v>5</v>
      </c>
      <c r="B184" s="2"/>
      <c r="C184" s="2"/>
      <c r="D184" s="2"/>
      <c r="E184" s="65"/>
    </row>
    <row r="185" spans="1:5" ht="15.4" thickBot="1" x14ac:dyDescent="0.45">
      <c r="A185" s="135" t="s">
        <v>85</v>
      </c>
      <c r="B185" s="136" t="s">
        <v>21</v>
      </c>
      <c r="C185" s="163">
        <f>'СР (материалы ТН)'!C185</f>
        <v>0</v>
      </c>
      <c r="D185" s="164" t="str">
        <f>'СР (материалы ТН)'!D185</f>
        <v>1 400,00 ₽</v>
      </c>
      <c r="E185" s="139">
        <f>C185*D185</f>
        <v>0</v>
      </c>
    </row>
    <row r="186" spans="1:5" ht="15.4" thickBot="1" x14ac:dyDescent="0.45">
      <c r="A186" s="132" t="s">
        <v>8</v>
      </c>
      <c r="B186" s="133"/>
      <c r="C186" s="133"/>
      <c r="D186" s="134"/>
      <c r="E186" s="130">
        <f>E185</f>
        <v>0</v>
      </c>
    </row>
    <row r="187" spans="1:5" ht="15.4" thickBot="1" x14ac:dyDescent="0.45">
      <c r="A187" s="83" t="s">
        <v>9</v>
      </c>
      <c r="B187" s="84"/>
      <c r="C187" s="84"/>
      <c r="D187" s="131"/>
      <c r="E187" s="129">
        <f>E186</f>
        <v>0</v>
      </c>
    </row>
    <row r="188" spans="1:5" ht="15" x14ac:dyDescent="0.4">
      <c r="A188" s="199" t="s">
        <v>75</v>
      </c>
      <c r="B188" s="200"/>
      <c r="C188" s="200"/>
      <c r="D188" s="200"/>
      <c r="E188" s="201"/>
    </row>
    <row r="189" spans="1:5" ht="13.9" x14ac:dyDescent="0.4">
      <c r="A189" s="64" t="s">
        <v>5</v>
      </c>
      <c r="B189" s="2"/>
      <c r="C189" s="2"/>
      <c r="D189" s="2"/>
      <c r="E189" s="65"/>
    </row>
    <row r="190" spans="1:5" ht="15" x14ac:dyDescent="0.4">
      <c r="A190" s="66" t="s">
        <v>76</v>
      </c>
      <c r="B190" s="3" t="s">
        <v>21</v>
      </c>
      <c r="C190" s="163">
        <f>'СР (материалы ТН)'!C190</f>
        <v>0</v>
      </c>
      <c r="D190" s="164" t="str">
        <f>'СР (материалы ТН)'!D190</f>
        <v>1 666,00 ₽</v>
      </c>
      <c r="E190" s="118">
        <f>D190*C190</f>
        <v>0</v>
      </c>
    </row>
    <row r="191" spans="1:5" ht="15.4" thickBot="1" x14ac:dyDescent="0.45">
      <c r="A191" s="135" t="s">
        <v>104</v>
      </c>
      <c r="B191" s="136" t="s">
        <v>21</v>
      </c>
      <c r="C191" s="163">
        <f>'СР (материалы ТН)'!C191</f>
        <v>0</v>
      </c>
      <c r="D191" s="164" t="str">
        <f>'СР (материалы ТН)'!D191</f>
        <v>1 666,00 ₽</v>
      </c>
      <c r="E191" s="139">
        <f>D191*C191</f>
        <v>0</v>
      </c>
    </row>
    <row r="192" spans="1:5" ht="15.4" thickBot="1" x14ac:dyDescent="0.45">
      <c r="A192" s="132" t="s">
        <v>8</v>
      </c>
      <c r="B192" s="133"/>
      <c r="C192" s="133"/>
      <c r="D192" s="134"/>
      <c r="E192" s="130">
        <f>SUM(E190:E191)</f>
        <v>0</v>
      </c>
    </row>
    <row r="193" spans="1:5" ht="15.4" thickBot="1" x14ac:dyDescent="0.45">
      <c r="A193" s="83" t="s">
        <v>9</v>
      </c>
      <c r="B193" s="84"/>
      <c r="C193" s="84"/>
      <c r="D193" s="131"/>
      <c r="E193" s="129">
        <f>E192</f>
        <v>0</v>
      </c>
    </row>
    <row r="194" spans="1:5" ht="20.65" thickBot="1" x14ac:dyDescent="0.45">
      <c r="A194" s="213" t="s">
        <v>89</v>
      </c>
      <c r="B194" s="214"/>
      <c r="C194" s="214"/>
      <c r="D194" s="214"/>
      <c r="E194" s="128">
        <f>SUM(E11,E16,E23,E34,E39,E48,E56,E65,E70,E80,E91,E100,E111,E125,E130,E135,E140,E145,E150,E155,E160,E165,E170,E175,E181,E186,E192)</f>
        <v>958101.60000000009</v>
      </c>
    </row>
    <row r="195" spans="1:5" s="39" customFormat="1" ht="20.65" thickBot="1" x14ac:dyDescent="0.6">
      <c r="A195" s="218" t="s">
        <v>138</v>
      </c>
      <c r="B195" s="219"/>
      <c r="C195" s="219"/>
      <c r="D195" s="220"/>
      <c r="E195" s="127">
        <f>E29+E43+E51+E60+E75+E86+E95+E106+E120+35000</f>
        <v>2511474.0425599995</v>
      </c>
    </row>
    <row r="196" spans="1:5" ht="20.25" x14ac:dyDescent="0.4">
      <c r="A196" s="215" t="s">
        <v>77</v>
      </c>
      <c r="B196" s="216"/>
      <c r="C196" s="216"/>
      <c r="D196" s="216"/>
      <c r="E196" s="217"/>
    </row>
    <row r="197" spans="1:5" ht="17.649999999999999" x14ac:dyDescent="0.4">
      <c r="A197" s="19" t="s">
        <v>78</v>
      </c>
      <c r="B197" s="19" t="s">
        <v>79</v>
      </c>
      <c r="C197" s="20">
        <v>1</v>
      </c>
      <c r="D197" s="26">
        <v>230000</v>
      </c>
      <c r="E197" s="26">
        <f>D197*C197</f>
        <v>230000</v>
      </c>
    </row>
    <row r="198" spans="1:5" ht="17.649999999999999" x14ac:dyDescent="0.4">
      <c r="A198" s="19" t="s">
        <v>80</v>
      </c>
      <c r="B198" s="19" t="s">
        <v>79</v>
      </c>
      <c r="C198" s="20">
        <v>5</v>
      </c>
      <c r="D198" s="26">
        <v>32000</v>
      </c>
      <c r="E198" s="26">
        <f t="shared" ref="E198:E199" si="3">D198*C198</f>
        <v>160000</v>
      </c>
    </row>
    <row r="199" spans="1:5" ht="17.649999999999999" x14ac:dyDescent="0.4">
      <c r="A199" s="21" t="s">
        <v>81</v>
      </c>
      <c r="B199" s="21" t="s">
        <v>79</v>
      </c>
      <c r="C199" s="22">
        <v>3</v>
      </c>
      <c r="D199" s="23" t="s">
        <v>82</v>
      </c>
      <c r="E199" s="26">
        <f t="shared" si="3"/>
        <v>45000</v>
      </c>
    </row>
    <row r="200" spans="1:5" ht="40.5" customHeight="1" x14ac:dyDescent="0.4">
      <c r="A200" s="211" t="s">
        <v>83</v>
      </c>
      <c r="B200" s="211"/>
      <c r="C200" s="211"/>
      <c r="D200" s="211"/>
      <c r="E200" s="25">
        <f>SUM(E197:E199)</f>
        <v>435000</v>
      </c>
    </row>
    <row r="201" spans="1:5" ht="25.9" customHeight="1" thickBot="1" x14ac:dyDescent="0.45">
      <c r="A201" s="212" t="s">
        <v>139</v>
      </c>
      <c r="B201" s="212"/>
      <c r="C201" s="212"/>
      <c r="D201" s="212"/>
      <c r="E201" s="29">
        <f>E200+E194</f>
        <v>1393101.6</v>
      </c>
    </row>
    <row r="202" spans="1:5" ht="21" hidden="1" thickBot="1" x14ac:dyDescent="0.45">
      <c r="A202" s="208" t="s">
        <v>84</v>
      </c>
      <c r="B202" s="209"/>
      <c r="C202" s="209"/>
      <c r="D202" s="210"/>
      <c r="E202" s="29">
        <f>E201*0.22</f>
        <v>306482.35200000001</v>
      </c>
    </row>
    <row r="203" spans="1:5" s="39" customFormat="1" ht="20.65" thickBot="1" x14ac:dyDescent="0.6">
      <c r="A203" s="221" t="s">
        <v>158</v>
      </c>
      <c r="B203" s="222"/>
      <c r="C203" s="222"/>
      <c r="D203" s="223"/>
      <c r="E203" s="127">
        <f>E201+E195</f>
        <v>3904575.6425599996</v>
      </c>
    </row>
    <row r="204" spans="1:5" ht="51" customHeight="1" x14ac:dyDescent="0.4">
      <c r="A204" s="208" t="s">
        <v>132</v>
      </c>
      <c r="B204" s="209"/>
      <c r="C204" s="209"/>
      <c r="D204" s="210"/>
      <c r="E204" s="29">
        <f>E203+E202</f>
        <v>4211057.9945599996</v>
      </c>
    </row>
    <row r="206" spans="1:5" ht="15.4" x14ac:dyDescent="0.4">
      <c r="A206" s="31" t="s">
        <v>92</v>
      </c>
      <c r="B206" s="31" t="s">
        <v>95</v>
      </c>
      <c r="C206" s="28"/>
    </row>
    <row r="207" spans="1:5" ht="15.4" x14ac:dyDescent="0.4">
      <c r="A207" s="31" t="s">
        <v>93</v>
      </c>
      <c r="B207" s="31" t="s">
        <v>96</v>
      </c>
      <c r="C207" s="28"/>
    </row>
    <row r="208" spans="1:5" ht="15.4" x14ac:dyDescent="0.4">
      <c r="A208" s="28" t="s">
        <v>94</v>
      </c>
      <c r="B208" s="202" t="s">
        <v>97</v>
      </c>
      <c r="C208" s="202"/>
    </row>
    <row r="209" spans="1:3" ht="15.4" x14ac:dyDescent="0.4">
      <c r="A209" s="31" t="s">
        <v>90</v>
      </c>
      <c r="B209" s="32" t="s">
        <v>98</v>
      </c>
      <c r="C209" s="28"/>
    </row>
    <row r="210" spans="1:3" ht="15.4" x14ac:dyDescent="0.4">
      <c r="A210" s="31"/>
      <c r="B210" s="28"/>
      <c r="C210" s="28"/>
    </row>
    <row r="211" spans="1:3" ht="15.4" x14ac:dyDescent="0.4">
      <c r="A211" s="32" t="s">
        <v>91</v>
      </c>
      <c r="B211" s="32" t="s">
        <v>99</v>
      </c>
      <c r="C211" s="28"/>
    </row>
    <row r="212" spans="1:3" x14ac:dyDescent="0.4">
      <c r="B212" s="30"/>
    </row>
  </sheetData>
  <mergeCells count="37">
    <mergeCell ref="A36:E36"/>
    <mergeCell ref="A4:E4"/>
    <mergeCell ref="A7:E7"/>
    <mergeCell ref="A13:E13"/>
    <mergeCell ref="A18:E18"/>
    <mergeCell ref="A31:E31"/>
    <mergeCell ref="A137:E137"/>
    <mergeCell ref="A45:E45"/>
    <mergeCell ref="A53:E53"/>
    <mergeCell ref="A62:E62"/>
    <mergeCell ref="A67:E67"/>
    <mergeCell ref="A77:E77"/>
    <mergeCell ref="A88:E88"/>
    <mergeCell ref="A97:E97"/>
    <mergeCell ref="A108:E108"/>
    <mergeCell ref="A122:E122"/>
    <mergeCell ref="A127:E127"/>
    <mergeCell ref="A132:E132"/>
    <mergeCell ref="A195:D195"/>
    <mergeCell ref="A142:E142"/>
    <mergeCell ref="A147:E147"/>
    <mergeCell ref="A152:E152"/>
    <mergeCell ref="A157:E157"/>
    <mergeCell ref="A162:E162"/>
    <mergeCell ref="A167:E167"/>
    <mergeCell ref="A172:E172"/>
    <mergeCell ref="A177:E177"/>
    <mergeCell ref="A183:E183"/>
    <mergeCell ref="A188:E188"/>
    <mergeCell ref="A194:D194"/>
    <mergeCell ref="B208:C208"/>
    <mergeCell ref="A196:E196"/>
    <mergeCell ref="A200:D200"/>
    <mergeCell ref="A201:D201"/>
    <mergeCell ref="A202:D202"/>
    <mergeCell ref="A203:D203"/>
    <mergeCell ref="A204:D204"/>
  </mergeCells>
  <pageMargins left="0.7" right="0.7" top="0.75" bottom="0.75" header="0.3" footer="0.3"/>
  <pageSetup paperSize="9" scale="5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4934E-C577-4729-A53A-E5000886C713}">
  <dimension ref="A1:G26"/>
  <sheetViews>
    <sheetView zoomScale="85" zoomScaleNormal="85" workbookViewId="0">
      <selection activeCell="G20" sqref="G20"/>
    </sheetView>
  </sheetViews>
  <sheetFormatPr defaultRowHeight="13.15" x14ac:dyDescent="0.4"/>
  <cols>
    <col min="1" max="1" width="82.5" customWidth="1"/>
    <col min="2" max="2" width="10.640625" customWidth="1"/>
    <col min="3" max="3" width="16.640625" customWidth="1"/>
    <col min="4" max="4" width="25" customWidth="1"/>
    <col min="5" max="5" width="27.640625" customWidth="1"/>
    <col min="6" max="6" width="30.35546875" customWidth="1"/>
    <col min="7" max="7" width="34.5" customWidth="1"/>
  </cols>
  <sheetData>
    <row r="1" spans="1:7" ht="30.4" thickBot="1" x14ac:dyDescent="0.45">
      <c r="A1" s="166" t="s">
        <v>148</v>
      </c>
      <c r="B1" s="167" t="s">
        <v>149</v>
      </c>
      <c r="C1" s="168" t="s">
        <v>150</v>
      </c>
      <c r="D1" s="169" t="s">
        <v>151</v>
      </c>
      <c r="E1" s="170" t="s">
        <v>152</v>
      </c>
      <c r="F1" s="169" t="s">
        <v>153</v>
      </c>
      <c r="G1" s="170" t="s">
        <v>154</v>
      </c>
    </row>
    <row r="2" spans="1:7" ht="15" x14ac:dyDescent="0.4">
      <c r="A2" s="48" t="s">
        <v>109</v>
      </c>
      <c r="B2" s="49" t="s">
        <v>110</v>
      </c>
      <c r="C2" s="165">
        <f>'СР (материалы ТН)'!C50</f>
        <v>1.1879999999999999</v>
      </c>
      <c r="D2" s="174">
        <v>3700</v>
      </c>
      <c r="E2" s="171">
        <f t="shared" ref="E2:E16" si="0">C2*D2</f>
        <v>4395.5999999999995</v>
      </c>
      <c r="F2" s="171">
        <f>D2</f>
        <v>3700</v>
      </c>
      <c r="G2" s="172">
        <f>C2*F2</f>
        <v>4395.5999999999995</v>
      </c>
    </row>
    <row r="3" spans="1:7" ht="15" x14ac:dyDescent="0.4">
      <c r="A3" s="54" t="s">
        <v>111</v>
      </c>
      <c r="B3" s="35" t="s">
        <v>121</v>
      </c>
      <c r="C3" s="53">
        <f>'СР (материалы ТН)'!C25</f>
        <v>36</v>
      </c>
      <c r="D3" s="37">
        <v>1300</v>
      </c>
      <c r="E3" s="171">
        <f t="shared" si="0"/>
        <v>46800</v>
      </c>
      <c r="F3" s="171">
        <v>1284</v>
      </c>
      <c r="G3" s="172">
        <f t="shared" ref="G2:G17" si="1">C3*F3</f>
        <v>46224</v>
      </c>
    </row>
    <row r="4" spans="1:7" ht="15" x14ac:dyDescent="0.4">
      <c r="A4" s="54" t="s">
        <v>114</v>
      </c>
      <c r="B4" s="35" t="s">
        <v>107</v>
      </c>
      <c r="C4" s="175">
        <f>'СР (материалы ТН)'!C28+'СР (материалы ТН)'!C42</f>
        <v>360</v>
      </c>
      <c r="D4" s="173">
        <v>5</v>
      </c>
      <c r="E4" s="171">
        <f t="shared" si="0"/>
        <v>1800</v>
      </c>
      <c r="F4" s="171">
        <v>2.35</v>
      </c>
      <c r="G4" s="172">
        <f>C4*F4</f>
        <v>846</v>
      </c>
    </row>
    <row r="5" spans="1:7" ht="15" x14ac:dyDescent="0.4">
      <c r="A5" s="113" t="s">
        <v>116</v>
      </c>
      <c r="B5" s="114" t="s">
        <v>106</v>
      </c>
      <c r="C5" s="108">
        <f>'СР (материалы ТН)'!C58</f>
        <v>1029.204</v>
      </c>
      <c r="D5" s="176">
        <v>19.899999999999999</v>
      </c>
      <c r="E5" s="171">
        <f t="shared" si="0"/>
        <v>20481.159599999999</v>
      </c>
      <c r="F5" s="171">
        <v>26.44</v>
      </c>
      <c r="G5" s="172">
        <f t="shared" si="1"/>
        <v>27212.153760000001</v>
      </c>
    </row>
    <row r="6" spans="1:7" ht="15" x14ac:dyDescent="0.4">
      <c r="A6" s="113" t="s">
        <v>117</v>
      </c>
      <c r="B6" s="120" t="s">
        <v>107</v>
      </c>
      <c r="C6" s="108">
        <f>'СР (материалы ТН)'!C59</f>
        <v>12</v>
      </c>
      <c r="D6" s="176">
        <v>308</v>
      </c>
      <c r="E6" s="171">
        <f t="shared" si="0"/>
        <v>3696</v>
      </c>
      <c r="F6" s="171">
        <v>190.36</v>
      </c>
      <c r="G6" s="172">
        <f t="shared" si="1"/>
        <v>2284.3200000000002</v>
      </c>
    </row>
    <row r="7" spans="1:7" ht="15" x14ac:dyDescent="0.4">
      <c r="A7" s="119" t="s">
        <v>118</v>
      </c>
      <c r="B7" s="150" t="s">
        <v>110</v>
      </c>
      <c r="C7" s="108">
        <f>'СР (материалы ТН)'!C72+'СР (материалы ТН)'!C113</f>
        <v>57.824399999999997</v>
      </c>
      <c r="D7" s="176">
        <v>16112</v>
      </c>
      <c r="E7" s="171">
        <f t="shared" si="0"/>
        <v>931666.7328</v>
      </c>
      <c r="F7" s="171">
        <f t="shared" ref="F7" si="2">D7</f>
        <v>16112</v>
      </c>
      <c r="G7" s="172">
        <f t="shared" si="1"/>
        <v>931666.7328</v>
      </c>
    </row>
    <row r="8" spans="1:7" ht="15" x14ac:dyDescent="0.4">
      <c r="A8" s="113" t="s">
        <v>135</v>
      </c>
      <c r="B8" s="151" t="s">
        <v>107</v>
      </c>
      <c r="C8" s="178">
        <f>'СР (материалы ТН)'!C74+'СР (материалы ТН)'!C84</f>
        <v>11232</v>
      </c>
      <c r="D8" s="174">
        <v>13</v>
      </c>
      <c r="E8" s="171">
        <f t="shared" si="0"/>
        <v>146016</v>
      </c>
      <c r="F8" s="171">
        <v>6.53</v>
      </c>
      <c r="G8" s="172">
        <f t="shared" si="1"/>
        <v>73344.960000000006</v>
      </c>
    </row>
    <row r="9" spans="1:7" ht="15" x14ac:dyDescent="0.4">
      <c r="A9" s="180" t="s">
        <v>125</v>
      </c>
      <c r="B9" s="120" t="s">
        <v>106</v>
      </c>
      <c r="C9" s="165">
        <f>'СР (материалы ТН)'!C82+'СР (материалы ТН)'!C93+'СР (материалы ТН)'!C114</f>
        <v>1388.0159999999998</v>
      </c>
      <c r="D9" s="177">
        <v>931</v>
      </c>
      <c r="E9" s="171">
        <f t="shared" si="0"/>
        <v>1292242.8959999999</v>
      </c>
      <c r="F9" s="171">
        <f t="shared" ref="F9:F10" si="3">D9</f>
        <v>931</v>
      </c>
      <c r="G9" s="172">
        <f t="shared" si="1"/>
        <v>1292242.8959999999</v>
      </c>
    </row>
    <row r="10" spans="1:7" ht="15" x14ac:dyDescent="0.4">
      <c r="A10" s="180" t="s">
        <v>126</v>
      </c>
      <c r="B10" s="114" t="s">
        <v>155</v>
      </c>
      <c r="C10" s="181">
        <f>'СР (материалы ТН)'!C94+'СР (материалы ТН)'!C115</f>
        <v>16.600000000000001</v>
      </c>
      <c r="D10" s="174">
        <v>1350</v>
      </c>
      <c r="E10" s="171">
        <f t="shared" si="0"/>
        <v>22410.000000000004</v>
      </c>
      <c r="F10" s="171">
        <f t="shared" si="3"/>
        <v>1350</v>
      </c>
      <c r="G10" s="172">
        <f t="shared" si="1"/>
        <v>22410.000000000004</v>
      </c>
    </row>
    <row r="11" spans="1:7" ht="15" x14ac:dyDescent="0.4">
      <c r="A11" s="94" t="s">
        <v>120</v>
      </c>
      <c r="B11" s="107" t="s">
        <v>121</v>
      </c>
      <c r="C11" s="181">
        <f>'СР (материалы ТН)'!C102</f>
        <v>36</v>
      </c>
      <c r="D11" s="174">
        <v>116</v>
      </c>
      <c r="E11" s="171">
        <f t="shared" si="0"/>
        <v>4176</v>
      </c>
      <c r="F11" s="179">
        <v>75.66</v>
      </c>
      <c r="G11" s="172">
        <f t="shared" si="1"/>
        <v>2723.7599999999998</v>
      </c>
    </row>
    <row r="12" spans="1:7" ht="15" x14ac:dyDescent="0.4">
      <c r="A12" s="182" t="s">
        <v>122</v>
      </c>
      <c r="B12" s="183" t="s">
        <v>121</v>
      </c>
      <c r="C12" s="181">
        <f>'СР (материалы ТН)'!C103+'СР (материалы ТН)'!C117</f>
        <v>45</v>
      </c>
      <c r="D12" s="174">
        <v>150</v>
      </c>
      <c r="E12" s="171">
        <f t="shared" si="0"/>
        <v>6750</v>
      </c>
      <c r="F12" s="179">
        <v>83.8</v>
      </c>
      <c r="G12" s="172">
        <f t="shared" si="1"/>
        <v>3771</v>
      </c>
    </row>
    <row r="13" spans="1:7" ht="15" x14ac:dyDescent="0.4">
      <c r="A13" s="115" t="s">
        <v>123</v>
      </c>
      <c r="B13" s="116" t="s">
        <v>107</v>
      </c>
      <c r="C13" s="181">
        <f>'СР (материалы ТН)'!C104+'СР (материалы ТН)'!C118</f>
        <v>480</v>
      </c>
      <c r="D13" s="174">
        <v>8</v>
      </c>
      <c r="E13" s="171">
        <f t="shared" si="0"/>
        <v>3840</v>
      </c>
      <c r="F13" s="179">
        <v>5.07</v>
      </c>
      <c r="G13" s="172">
        <f t="shared" si="1"/>
        <v>2433.6000000000004</v>
      </c>
    </row>
    <row r="14" spans="1:7" ht="15" x14ac:dyDescent="0.4">
      <c r="A14" s="184" t="s">
        <v>119</v>
      </c>
      <c r="B14" s="116" t="s">
        <v>107</v>
      </c>
      <c r="C14" s="181">
        <f>'СР (материалы ТН)'!C85</f>
        <v>5</v>
      </c>
      <c r="D14" s="174">
        <v>5162</v>
      </c>
      <c r="E14" s="171">
        <f t="shared" si="0"/>
        <v>25810</v>
      </c>
      <c r="F14" s="179">
        <v>4508.67</v>
      </c>
      <c r="G14" s="172">
        <f t="shared" si="1"/>
        <v>22543.35</v>
      </c>
    </row>
    <row r="15" spans="1:7" ht="15" x14ac:dyDescent="0.4">
      <c r="A15" s="185" t="s">
        <v>130</v>
      </c>
      <c r="B15" s="186" t="s">
        <v>107</v>
      </c>
      <c r="C15" s="181">
        <f>'СР (материалы ТН)'!C105+'СР (материалы ТН)'!C119</f>
        <v>11.25</v>
      </c>
      <c r="D15" s="174">
        <v>440</v>
      </c>
      <c r="E15" s="171">
        <f t="shared" si="0"/>
        <v>4950</v>
      </c>
      <c r="F15" s="179">
        <v>449.4</v>
      </c>
      <c r="G15" s="172">
        <f t="shared" si="1"/>
        <v>5055.75</v>
      </c>
    </row>
    <row r="16" spans="1:7" ht="15" x14ac:dyDescent="0.4">
      <c r="A16" s="187" t="s">
        <v>127</v>
      </c>
      <c r="B16" s="35" t="s">
        <v>107</v>
      </c>
      <c r="C16" s="188">
        <f>'СР (материалы ТН)'!C116</f>
        <v>120</v>
      </c>
      <c r="D16" s="174">
        <v>7.5</v>
      </c>
      <c r="E16" s="171">
        <f t="shared" si="0"/>
        <v>900</v>
      </c>
      <c r="F16" s="179">
        <v>3.81</v>
      </c>
      <c r="G16" s="172">
        <f t="shared" si="1"/>
        <v>457.2</v>
      </c>
    </row>
    <row r="17" spans="1:7" ht="15" x14ac:dyDescent="0.4">
      <c r="A17" s="189" t="s">
        <v>134</v>
      </c>
      <c r="B17" s="190" t="s">
        <v>107</v>
      </c>
      <c r="C17" s="191">
        <f>'СР (материалы ТН)'!C83+'СР (материалы ТН)'!C73</f>
        <v>11232</v>
      </c>
      <c r="D17" s="192">
        <v>14</v>
      </c>
      <c r="E17" s="193">
        <f>C17*D17</f>
        <v>157248</v>
      </c>
      <c r="F17" s="194">
        <v>3.46</v>
      </c>
      <c r="G17" s="195">
        <f t="shared" si="1"/>
        <v>38862.720000000001</v>
      </c>
    </row>
    <row r="18" spans="1:7" ht="15" x14ac:dyDescent="0.4">
      <c r="A18" s="196" t="s">
        <v>156</v>
      </c>
      <c r="B18" s="35"/>
      <c r="C18" s="188"/>
      <c r="D18" s="174"/>
      <c r="E18" s="171"/>
      <c r="F18" s="179">
        <v>35000</v>
      </c>
      <c r="G18" s="171">
        <v>35000</v>
      </c>
    </row>
    <row r="19" spans="1:7" ht="21.4" thickBot="1" x14ac:dyDescent="0.7">
      <c r="A19" s="230" t="s">
        <v>157</v>
      </c>
      <c r="B19" s="231"/>
      <c r="C19" s="231"/>
      <c r="D19" s="231"/>
      <c r="E19" s="197">
        <f>SUM(E2:E18)</f>
        <v>2673182.3883999996</v>
      </c>
      <c r="F19" s="197"/>
      <c r="G19" s="198">
        <f>SUM(G2:G18)</f>
        <v>2511474.0425600004</v>
      </c>
    </row>
    <row r="24" spans="1:7" x14ac:dyDescent="0.4">
      <c r="E24">
        <v>2673182.39</v>
      </c>
    </row>
    <row r="26" spans="1:7" x14ac:dyDescent="0.4">
      <c r="E26" s="232">
        <f>E19-E24</f>
        <v>-1.6000005416572094E-3</v>
      </c>
    </row>
  </sheetData>
  <mergeCells count="1">
    <mergeCell ref="A19:D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СР (материалы ТН)</vt:lpstr>
      <vt:lpstr>СР (материалы Фахман)</vt:lpstr>
      <vt:lpstr>Ведомость материалов</vt:lpstr>
      <vt:lpstr>'СР (материалы ТН)'!Область_печати</vt:lpstr>
      <vt:lpstr>'СР (материалы Фахман)'!Область_печати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Договор подряда на выполнение комплекса строительных</dc:title>
  <dc:creator>urist</dc:creator>
  <cp:lastModifiedBy>Пользователь</cp:lastModifiedBy>
  <cp:lastPrinted>2025-12-15T09:41:36Z</cp:lastPrinted>
  <dcterms:created xsi:type="dcterms:W3CDTF">2025-12-09T07:16:48Z</dcterms:created>
  <dcterms:modified xsi:type="dcterms:W3CDTF">2026-03-13T16:38:48Z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2025-11-08T00:00:00Z</vt:filetime>
  </property>
  <property fmtid="{D5CDD505-2E9C-101B-9397-08002B2CF9AE}" pid="3" name="Creator">
    <vt:lpwstr>Microsoft® Word 2010</vt:lpwstr>
  </property>
  <property fmtid="{D5CDD505-2E9C-101B-9397-08002B2CF9AE}" pid="4" name="LastSaved">
    <vt:filetime>2025-12-09T00:00:00Z</vt:filetime>
  </property>
  <property fmtid="{D5CDD505-2E9C-101B-9397-08002B2CF9AE}" pid="5" name="Producer">
    <vt:lpwstr>3-Heights(TM) PDF Security Shell 4.8.25.2 (http://www.pdf-tools.com)</vt:lpwstr>
  </property>
</Properties>
</file>