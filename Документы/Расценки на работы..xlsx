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"/>
    </mc:Choice>
  </mc:AlternateContent>
  <xr:revisionPtr revIDLastSave="0" documentId="13_ncr:1_{ADC28AF8-C3B9-4265-BA79-FBC29FC80F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_xlnm._FilterDatabase" localSheetId="0" hidden="1">Лист1!$C$3:$M$99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F53" i="1"/>
  <c r="G53" i="1"/>
  <c r="I51" i="1"/>
  <c r="E51" i="1"/>
  <c r="D51" i="1"/>
  <c r="D54" i="1"/>
  <c r="E54" i="1"/>
  <c r="G54" i="1"/>
  <c r="H54" i="1"/>
  <c r="I54" i="1"/>
  <c r="D71" i="1"/>
  <c r="E71" i="1"/>
  <c r="F71" i="1"/>
  <c r="G71" i="1"/>
  <c r="H71" i="1"/>
  <c r="I71" i="1"/>
  <c r="J71" i="1"/>
  <c r="C71" i="1"/>
  <c r="F60" i="1"/>
  <c r="C60" i="1"/>
  <c r="D40" i="1"/>
  <c r="E40" i="1"/>
  <c r="F40" i="1"/>
  <c r="G40" i="1"/>
  <c r="H40" i="1"/>
  <c r="I40" i="1"/>
  <c r="J40" i="1"/>
  <c r="C40" i="1"/>
  <c r="J5" i="1"/>
  <c r="I5" i="1"/>
  <c r="H5" i="1"/>
  <c r="G5" i="1"/>
  <c r="F5" i="1"/>
  <c r="E5" i="1"/>
  <c r="D5" i="1"/>
  <c r="J6" i="1"/>
  <c r="I6" i="1"/>
  <c r="H6" i="1"/>
  <c r="G6" i="1"/>
  <c r="F6" i="1"/>
  <c r="E6" i="1"/>
  <c r="D6" i="1"/>
  <c r="J7" i="1"/>
  <c r="I7" i="1"/>
  <c r="H7" i="1"/>
  <c r="G7" i="1"/>
  <c r="F7" i="1"/>
  <c r="E7" i="1"/>
  <c r="D7" i="1"/>
  <c r="J10" i="1"/>
  <c r="J8" i="1"/>
  <c r="I8" i="1"/>
  <c r="H8" i="1"/>
  <c r="G8" i="1"/>
  <c r="F8" i="1"/>
  <c r="E8" i="1"/>
  <c r="D8" i="1"/>
  <c r="I10" i="1"/>
  <c r="H10" i="1"/>
  <c r="G10" i="1"/>
  <c r="E10" i="1"/>
  <c r="D10" i="1"/>
  <c r="D11" i="1"/>
  <c r="G12" i="1"/>
  <c r="D12" i="1"/>
  <c r="F13" i="1"/>
  <c r="D13" i="1"/>
  <c r="J14" i="1"/>
  <c r="I14" i="1"/>
  <c r="H14" i="1"/>
  <c r="G14" i="1"/>
  <c r="F14" i="1"/>
  <c r="E14" i="1"/>
  <c r="D14" i="1"/>
  <c r="D15" i="1"/>
  <c r="J15" i="1"/>
  <c r="I15" i="1"/>
  <c r="H15" i="1"/>
  <c r="G15" i="1"/>
  <c r="F15" i="1"/>
  <c r="E15" i="1"/>
  <c r="J16" i="1"/>
  <c r="I16" i="1"/>
  <c r="H16" i="1"/>
  <c r="G16" i="1"/>
  <c r="F16" i="1"/>
  <c r="E16" i="1"/>
  <c r="D16" i="1"/>
  <c r="J17" i="1"/>
  <c r="I17" i="1"/>
  <c r="H17" i="1"/>
  <c r="G17" i="1"/>
  <c r="F17" i="1"/>
  <c r="E17" i="1"/>
  <c r="D17" i="1"/>
  <c r="E18" i="1"/>
  <c r="D18" i="1"/>
  <c r="F19" i="1"/>
  <c r="D19" i="1"/>
  <c r="D21" i="1"/>
  <c r="D22" i="1"/>
  <c r="E27" i="1"/>
  <c r="C27" i="1"/>
  <c r="D26" i="1"/>
  <c r="D27" i="1" s="1"/>
  <c r="D28" i="1"/>
  <c r="E28" i="1"/>
  <c r="F28" i="1"/>
  <c r="G28" i="1"/>
  <c r="H28" i="1"/>
  <c r="I28" i="1"/>
  <c r="J28" i="1"/>
  <c r="C28" i="1"/>
  <c r="J31" i="1"/>
  <c r="G31" i="1"/>
  <c r="E31" i="1"/>
  <c r="D31" i="1"/>
  <c r="F42" i="1"/>
  <c r="G42" i="1"/>
  <c r="H42" i="1"/>
  <c r="I42" i="1"/>
  <c r="J42" i="1"/>
  <c r="F35" i="1"/>
  <c r="F34" i="1" s="1"/>
  <c r="F38" i="1" s="1"/>
  <c r="G35" i="1"/>
  <c r="G34" i="1" s="1"/>
  <c r="G33" i="1" s="1"/>
  <c r="G38" i="1" s="1"/>
  <c r="H35" i="1"/>
  <c r="H34" i="1" s="1"/>
  <c r="H38" i="1" s="1"/>
  <c r="I35" i="1"/>
  <c r="I34" i="1" s="1"/>
  <c r="I38" i="1" s="1"/>
  <c r="J35" i="1"/>
  <c r="J34" i="1" s="1"/>
  <c r="J38" i="1" s="1"/>
  <c r="C35" i="1"/>
  <c r="C34" i="1" s="1"/>
  <c r="C38" i="1" s="1"/>
  <c r="E36" i="1"/>
  <c r="E35" i="1" s="1"/>
  <c r="E34" i="1" s="1"/>
  <c r="E38" i="1" s="1"/>
  <c r="D36" i="1"/>
  <c r="D35" i="1" s="1"/>
  <c r="D34" i="1" s="1"/>
  <c r="D38" i="1" s="1"/>
  <c r="D43" i="1"/>
  <c r="D45" i="1"/>
  <c r="I49" i="1"/>
  <c r="H49" i="1"/>
  <c r="J49" i="1"/>
  <c r="H55" i="1"/>
  <c r="G55" i="1"/>
  <c r="E55" i="1"/>
  <c r="D55" i="1"/>
  <c r="J56" i="1"/>
  <c r="H56" i="1"/>
  <c r="G56" i="1"/>
  <c r="E56" i="1"/>
  <c r="D56" i="1"/>
  <c r="J58" i="1"/>
  <c r="I58" i="1"/>
  <c r="H58" i="1"/>
  <c r="G58" i="1"/>
  <c r="F58" i="1"/>
  <c r="E58" i="1"/>
  <c r="D58" i="1"/>
  <c r="J57" i="1"/>
  <c r="I57" i="1"/>
  <c r="H57" i="1"/>
  <c r="G57" i="1"/>
  <c r="F57" i="1"/>
  <c r="E57" i="1"/>
  <c r="D57" i="1"/>
  <c r="F62" i="1"/>
  <c r="I62" i="1"/>
  <c r="J62" i="1"/>
  <c r="C62" i="1"/>
  <c r="J59" i="1"/>
  <c r="J60" i="1" s="1"/>
  <c r="I59" i="1"/>
  <c r="I60" i="1" s="1"/>
  <c r="H59" i="1"/>
  <c r="H60" i="1" s="1"/>
  <c r="G59" i="1"/>
  <c r="G60" i="1" s="1"/>
  <c r="E59" i="1"/>
  <c r="E60" i="1" s="1"/>
  <c r="D59" i="1"/>
  <c r="D60" i="1" s="1"/>
  <c r="J63" i="1"/>
  <c r="I63" i="1"/>
  <c r="H63" i="1"/>
  <c r="G63" i="1"/>
  <c r="D63" i="1"/>
  <c r="E63" i="1"/>
  <c r="H64" i="1"/>
  <c r="G64" i="1"/>
  <c r="D64" i="1"/>
  <c r="E64" i="1" s="1"/>
  <c r="H65" i="1"/>
  <c r="G65" i="1"/>
  <c r="D65" i="1"/>
  <c r="E65" i="1" s="1"/>
  <c r="H66" i="1"/>
  <c r="G66" i="1"/>
  <c r="D66" i="1"/>
  <c r="E66" i="1" s="1"/>
  <c r="H67" i="1"/>
  <c r="H62" i="1" s="1"/>
  <c r="G67" i="1"/>
  <c r="G62" i="1" s="1"/>
  <c r="D67" i="1"/>
  <c r="D62" i="1" s="1"/>
  <c r="I68" i="1"/>
  <c r="H68" i="1"/>
  <c r="G68" i="1"/>
  <c r="F68" i="1"/>
  <c r="E68" i="1"/>
  <c r="J69" i="1"/>
  <c r="I69" i="1"/>
  <c r="H69" i="1"/>
  <c r="G69" i="1"/>
  <c r="D69" i="1"/>
  <c r="E69" i="1"/>
  <c r="J70" i="1"/>
  <c r="H70" i="1"/>
  <c r="G70" i="1"/>
  <c r="F70" i="1"/>
  <c r="E70" i="1"/>
  <c r="J73" i="1"/>
  <c r="H73" i="1"/>
  <c r="G73" i="1"/>
  <c r="F73" i="1"/>
  <c r="E73" i="1"/>
  <c r="D73" i="1"/>
  <c r="J75" i="1"/>
  <c r="I75" i="1"/>
  <c r="H75" i="1"/>
  <c r="G75" i="1"/>
  <c r="F75" i="1"/>
  <c r="E75" i="1"/>
  <c r="D75" i="1"/>
  <c r="J76" i="1"/>
  <c r="I76" i="1"/>
  <c r="H76" i="1"/>
  <c r="G76" i="1"/>
  <c r="F76" i="1"/>
  <c r="E76" i="1"/>
  <c r="D76" i="1"/>
  <c r="J77" i="1"/>
  <c r="I77" i="1"/>
  <c r="H77" i="1"/>
  <c r="G77" i="1"/>
  <c r="F77" i="1"/>
  <c r="E77" i="1"/>
  <c r="D77" i="1"/>
  <c r="J78" i="1"/>
  <c r="I78" i="1"/>
  <c r="H78" i="1"/>
  <c r="G78" i="1"/>
  <c r="F78" i="1"/>
  <c r="E78" i="1"/>
  <c r="D78" i="1"/>
  <c r="J79" i="1"/>
  <c r="I79" i="1"/>
  <c r="H79" i="1"/>
  <c r="G79" i="1"/>
  <c r="F79" i="1"/>
  <c r="E79" i="1"/>
  <c r="D79" i="1"/>
  <c r="J80" i="1"/>
  <c r="I80" i="1"/>
  <c r="H80" i="1"/>
  <c r="G80" i="1"/>
  <c r="F80" i="1"/>
  <c r="E80" i="1"/>
  <c r="D80" i="1"/>
  <c r="J81" i="1"/>
  <c r="I81" i="1"/>
  <c r="H81" i="1"/>
  <c r="G81" i="1"/>
  <c r="F81" i="1"/>
  <c r="E81" i="1"/>
  <c r="D81" i="1"/>
  <c r="J82" i="1"/>
  <c r="I82" i="1"/>
  <c r="H82" i="1"/>
  <c r="G82" i="1"/>
  <c r="F82" i="1"/>
  <c r="E82" i="1"/>
  <c r="D82" i="1"/>
  <c r="J83" i="1"/>
  <c r="I83" i="1"/>
  <c r="H83" i="1"/>
  <c r="G83" i="1"/>
  <c r="F83" i="1"/>
  <c r="E83" i="1"/>
  <c r="D83" i="1"/>
  <c r="J84" i="1"/>
  <c r="I84" i="1"/>
  <c r="H84" i="1"/>
  <c r="G84" i="1"/>
  <c r="F84" i="1"/>
  <c r="E84" i="1"/>
  <c r="D84" i="1"/>
  <c r="J94" i="1"/>
  <c r="I94" i="1"/>
  <c r="H94" i="1"/>
  <c r="G94" i="1"/>
  <c r="F94" i="1"/>
  <c r="E94" i="1"/>
  <c r="D94" i="1"/>
  <c r="J97" i="1"/>
  <c r="I97" i="1"/>
  <c r="H97" i="1"/>
  <c r="G97" i="1"/>
  <c r="F97" i="1"/>
  <c r="E97" i="1"/>
  <c r="D97" i="1"/>
  <c r="J98" i="1"/>
  <c r="I98" i="1"/>
  <c r="H98" i="1"/>
  <c r="G98" i="1"/>
  <c r="F98" i="1"/>
  <c r="E98" i="1"/>
  <c r="D98" i="1"/>
  <c r="J99" i="1"/>
  <c r="I99" i="1"/>
  <c r="H99" i="1"/>
  <c r="G99" i="1"/>
  <c r="F99" i="1"/>
  <c r="E99" i="1"/>
  <c r="D99" i="1"/>
  <c r="F49" i="1"/>
  <c r="E49" i="1"/>
  <c r="D49" i="1"/>
  <c r="C49" i="1"/>
  <c r="G49" i="1"/>
  <c r="C39" i="1" l="1"/>
  <c r="J39" i="1"/>
  <c r="D39" i="1"/>
  <c r="I39" i="1"/>
  <c r="H39" i="1"/>
  <c r="G39" i="1"/>
  <c r="F39" i="1"/>
  <c r="E39" i="1"/>
  <c r="E67" i="1"/>
  <c r="E62" i="1" s="1"/>
</calcChain>
</file>

<file path=xl/sharedStrings.xml><?xml version="1.0" encoding="utf-8"?>
<sst xmlns="http://schemas.openxmlformats.org/spreadsheetml/2006/main" count="274" uniqueCount="124">
  <si>
    <t>Ед.изм.</t>
  </si>
  <si>
    <t>м2</t>
  </si>
  <si>
    <t>шт</t>
  </si>
  <si>
    <t>Наименование работ.</t>
  </si>
  <si>
    <t>м/п</t>
  </si>
  <si>
    <t>Монтаж шины молниезащиты</t>
  </si>
  <si>
    <t>Устройство пароизоляционного слоя из пленки</t>
  </si>
  <si>
    <t>Демонтаж Дефлектора</t>
  </si>
  <si>
    <t>Устройство противопожарных рассечек 3*3 м вокруг зенитных фонарей, люков дымоудаления и дефлекторов из материала Logicroof NG</t>
  </si>
  <si>
    <t>мп</t>
  </si>
  <si>
    <t>S=0-300 м2</t>
  </si>
  <si>
    <t>S=300-600 м2</t>
  </si>
  <si>
    <t>S=600-1000 м2</t>
  </si>
  <si>
    <t>S=1000-3000 м2</t>
  </si>
  <si>
    <t>S=3000-6000 м2</t>
  </si>
  <si>
    <t>S=6000-15000 м2</t>
  </si>
  <si>
    <r>
      <t>Цена за ед.
(</t>
    </r>
    <r>
      <rPr>
        <b/>
        <sz val="12"/>
        <color rgb="FFFF0000"/>
        <rFont val="Arial"/>
        <family val="2"/>
        <charset val="204"/>
      </rPr>
      <t>без НДС</t>
    </r>
    <r>
      <rPr>
        <b/>
        <sz val="12"/>
        <color theme="1"/>
        <rFont val="Arial"/>
        <family val="2"/>
        <charset val="204"/>
      </rPr>
      <t>)</t>
    </r>
  </si>
  <si>
    <t>Демонтаж профилированного настила</t>
  </si>
  <si>
    <t>Вид работ</t>
  </si>
  <si>
    <t>Устройство пароизоляционного слоя из битумных наплавляющих материалов (НАПЛАВЛЕНИЕ ПО ШВАМ)</t>
  </si>
  <si>
    <t xml:space="preserve">Устройство пароизоляционного слоя из битумных наплавляющих материалов (СПЛОШНОЕ НАПЛАВЛЕНИЕ) </t>
  </si>
  <si>
    <t>Вид основания</t>
  </si>
  <si>
    <t>Подготовка основания</t>
  </si>
  <si>
    <t>ж/б</t>
  </si>
  <si>
    <t>Монтаж профилированного настила</t>
  </si>
  <si>
    <t>профлист</t>
  </si>
  <si>
    <t>Устройство усиления мест воронок внутреннего водоотведения из оц. стали толщиной 0,7 мм</t>
  </si>
  <si>
    <t>Устройство пароизоляционного слоя из Паробарьера</t>
  </si>
  <si>
    <t>Устройство разделительного слоя из стеклохолста/геотекстиля</t>
  </si>
  <si>
    <r>
      <t xml:space="preserve">Монтаж гидроизоляционного покрытия из ПВХ мембраны шириной 2 м (центральная зона), с продольным нахлестом не менее 120 мм и поперечным не менее 200 мм </t>
    </r>
    <r>
      <rPr>
        <b/>
        <sz val="12"/>
        <color theme="1"/>
        <rFont val="Arial"/>
        <family val="2"/>
        <charset val="204"/>
      </rPr>
      <t>по профлисту</t>
    </r>
  </si>
  <si>
    <r>
      <t xml:space="preserve">Монтаж гидроизоляционного покрытия из ПВХ мембраны шириной 0.5-1 м (парапетная зона), с продольным нахлестом не менее 120 мм и поперечным не менее 200 мм </t>
    </r>
    <r>
      <rPr>
        <b/>
        <sz val="12"/>
        <color theme="1"/>
        <rFont val="Arial"/>
        <family val="2"/>
        <charset val="204"/>
      </rPr>
      <t>по профлисту</t>
    </r>
  </si>
  <si>
    <r>
      <t xml:space="preserve">Монтаж гидроизоляционного покрытия из ПВХ мембраны шириной 2 м (центральная зона), с продольным нахлестом не менее 120 мм и поперечным не менее 200 мм </t>
    </r>
    <r>
      <rPr>
        <b/>
        <sz val="12"/>
        <color theme="1"/>
        <rFont val="Arial"/>
        <family val="2"/>
        <charset val="204"/>
      </rPr>
      <t>по ж/б</t>
    </r>
  </si>
  <si>
    <r>
      <t xml:space="preserve">Монтаж гидроизоляционного покрытия из ПВХ мембраны шириной 0.5-1 м (парапетная зона), с продольным нахлестом не менее 120 мм и поперечным не менее 200 мм </t>
    </r>
    <r>
      <rPr>
        <b/>
        <sz val="12"/>
        <color theme="1"/>
        <rFont val="Arial"/>
        <family val="2"/>
        <charset val="204"/>
      </rPr>
      <t>по ж/б</t>
    </r>
  </si>
  <si>
    <t>S = более 30000 м2</t>
  </si>
  <si>
    <t>БРМ</t>
  </si>
  <si>
    <t>ПМ</t>
  </si>
  <si>
    <t>Устройство кровельных аэраторов с закреплением к основанию, верезкой пирога до пароизоляции и заполнением аэратора керамзитом</t>
  </si>
  <si>
    <t>Вырез профлиста/парапета из сендвич-панели под водоприемную воронку</t>
  </si>
  <si>
    <t>Монтаж классических пешеходных дорожек (фанера/геотекстиль/мембрана)</t>
  </si>
  <si>
    <t>Демонтаж</t>
  </si>
  <si>
    <t>Устройство примыкания к зенитным фонарям и люкам дымоудаления из ПВХ-мембраны</t>
  </si>
  <si>
    <t>Устройство примыкания к опорам технологического оборудования из ПВХ-мембраны</t>
  </si>
  <si>
    <t>Устройство примыканий к гусакам из ПВХ-мембраны</t>
  </si>
  <si>
    <t>Устройство деф.шва из ПВХ-мембраны</t>
  </si>
  <si>
    <t>Устройство примыкания из ПВХ-мембраны к проходккам через кровлю d=10-300 мм</t>
  </si>
  <si>
    <t>Устройство примыкания из ПВХ-мембраны к проходккам через кровлю d=300-500 мм</t>
  </si>
  <si>
    <t>Устройство примыкания из ПВХ-мембраны к проходккам через кровлю d=500-1500 мм</t>
  </si>
  <si>
    <t>Монтаж гидроизоляционного покрытия из БРМ в один слой</t>
  </si>
  <si>
    <r>
      <t xml:space="preserve">Монтаж гидроизоляционного покрытия из БРМ в один слой с мех креплением </t>
    </r>
    <r>
      <rPr>
        <b/>
        <sz val="12"/>
        <color theme="1"/>
        <rFont val="Arial"/>
        <family val="2"/>
        <charset val="204"/>
      </rPr>
      <t>по профлисту</t>
    </r>
  </si>
  <si>
    <r>
      <t xml:space="preserve">Монтаж гидроизоляционного покрытия из БРМ в один слой с мех креплением </t>
    </r>
    <r>
      <rPr>
        <b/>
        <sz val="12"/>
        <color theme="1"/>
        <rFont val="Arial"/>
        <family val="2"/>
        <charset val="204"/>
      </rPr>
      <t>по ж/б</t>
    </r>
  </si>
  <si>
    <r>
      <t xml:space="preserve">Устройство примыкания гидроизоляционного покрытия из ПВХ мембраны к парапету на высоту до 500 мм </t>
    </r>
    <r>
      <rPr>
        <b/>
        <sz val="12"/>
        <color theme="1"/>
        <rFont val="Arial"/>
        <family val="2"/>
        <charset val="204"/>
      </rPr>
      <t>по ж/б</t>
    </r>
  </si>
  <si>
    <r>
      <t xml:space="preserve">Устройство примыкания гидроизоляционного покрытия из ПВХ мембраны к парапету, с заведением ПВХ мембраны за парапет, с высотой заведения более 450 мм (с промежуточным креплением) </t>
    </r>
    <r>
      <rPr>
        <b/>
        <sz val="12"/>
        <color theme="1"/>
        <rFont val="Arial"/>
        <family val="2"/>
        <charset val="204"/>
      </rPr>
      <t>по ж/б</t>
    </r>
  </si>
  <si>
    <t>Праймирование поверхности</t>
  </si>
  <si>
    <t>Устройство армированной стяжки (армирование фиброй), уклон 1% + контруклон</t>
  </si>
  <si>
    <t>Монтаж системы мониторинга снеговой нагрузки (2 датчика/приемное устройство/кабеля)</t>
  </si>
  <si>
    <t>компл</t>
  </si>
  <si>
    <t>Монтаж гидроизоляционного покрытия из ПВХ мембраны, с шириной рулона 2 м, с продольным нахлестом не менее 80мм и поперечным 200мм по плоскости</t>
  </si>
  <si>
    <t>Устройство примыканий (Монтаж компенсатора из велотерма)</t>
  </si>
  <si>
    <t>Устройство примыканий (Монтаж компенсационной петли из ПВХ мембраны)</t>
  </si>
  <si>
    <t>Устройство примыканий (Монтаж примыкания из ПВХ мембраны)</t>
  </si>
  <si>
    <t>Устройство примыканий (Монтаж краевой рейки с заполнением п/у герметиком)</t>
  </si>
  <si>
    <t>ИГ</t>
  </si>
  <si>
    <t>Монтаж двухуровневых воронок</t>
  </si>
  <si>
    <t>Устройство примыкания к трубным проходкам</t>
  </si>
  <si>
    <t>Устройство примыканий к деф. шву</t>
  </si>
  <si>
    <t>Устройство бортика (галтель)</t>
  </si>
  <si>
    <t xml:space="preserve">Монтаж гидроизоляционного покрытия из полимеро-битумного наплавляемого материала в 2 слоя </t>
  </si>
  <si>
    <t>Монтаж гидроизоляции к стенам, вент. проходам и выходу на кровлю высотой до 500 мм из полимеро-битумного наплавляемого материала в два слоя</t>
  </si>
  <si>
    <t>Монтаж гидроизоляции деформационного шва до 500 мм из полимеро-битумного наплавляемого материала в два слоя.</t>
  </si>
  <si>
    <t>Устройство сборной стяжки в 2 слоя ЦСП в перехлест - 20 мм.</t>
  </si>
  <si>
    <t>Вывоз мусора</t>
  </si>
  <si>
    <t>Кран</t>
  </si>
  <si>
    <t>Манипулятор</t>
  </si>
  <si>
    <t>рейс</t>
  </si>
  <si>
    <t>Вид г-го  материала</t>
  </si>
  <si>
    <t>Смена 8 ч</t>
  </si>
  <si>
    <t>Накладные расходы</t>
  </si>
  <si>
    <t>Проживание</t>
  </si>
  <si>
    <t>S=15000-30000 м2</t>
  </si>
  <si>
    <t>от 400 000</t>
  </si>
  <si>
    <t>Монтаж кровельного ограждения (без гидроизоляции)</t>
  </si>
  <si>
    <t>Вырез основания/парапета из бетона под водоприемную воронку (алмазное бурение)</t>
  </si>
  <si>
    <t xml:space="preserve">Устройство примыканий из ПВХ мембрраны к выступающим конструкциям (мп) под краевую рейку </t>
  </si>
  <si>
    <t>Устройство утепления примыкания к опорам технологического оборудования (в том числе проходки малых диаметров)</t>
  </si>
  <si>
    <t>Устройство примыкания к дефлекторам круглого сечения из ПВХ-мембраны с утеплением</t>
  </si>
  <si>
    <t>Устройство примыкания к карнизному свесу через капельник</t>
  </si>
  <si>
    <r>
      <t xml:space="preserve">Устройство примыкания гидроизоляционного покрытия из ПВХ  мембраны к парапету, с заведением ПВХ мембраны за парапет, с высотой заведения более 450 мм (с промежуточным креплением) </t>
    </r>
    <r>
      <rPr>
        <b/>
        <sz val="12"/>
        <color theme="1"/>
        <rFont val="Arial"/>
        <family val="2"/>
        <charset val="204"/>
      </rPr>
      <t>по сендвичу</t>
    </r>
  </si>
  <si>
    <r>
      <t xml:space="preserve">Устройство примыкания гидроизоляционного покрытия из ПВХ мембраны к парапету на высоту до 500 мм </t>
    </r>
    <r>
      <rPr>
        <b/>
        <sz val="12"/>
        <color theme="1"/>
        <rFont val="Arial"/>
        <family val="2"/>
        <charset val="204"/>
      </rPr>
      <t>по сендвичу</t>
    </r>
  </si>
  <si>
    <t>Утройство утепления парапета на высоту 500 мм</t>
  </si>
  <si>
    <t xml:space="preserve">Устройство контруклона из полимерных теплоизоляционных плит </t>
  </si>
  <si>
    <t xml:space="preserve">Устройство контруклона из минераловатных теплоизоляционных плит </t>
  </si>
  <si>
    <t>Устройство заполнения гофр профлиста НГ утеплителем на длину 250 мм (на две продольной волны или 250 мм в каждую волну по поперечным волнам)</t>
  </si>
  <si>
    <t xml:space="preserve">Устройство L-образного профиля и профилей усиления (коньковые усиления, усиления ендов, усиления деф. шва) </t>
  </si>
  <si>
    <t>Демонтаж зенитных фонарей (1*2 м; 2 м2)</t>
  </si>
  <si>
    <t>Демонтаж гидроизоляционного слоя из рулонных материалов (средняя толщина 50 мм), с учетом вертикальных конструкций, с учетом демонтажа парапетных крышек.
Демонтаж цементно-песчанной стяжки с теплоизоляционным, пароизоляционным слоем.</t>
  </si>
  <si>
    <t xml:space="preserve">Устройство примыканий из БРМ мембрраны к выступающим конструкциям (мп) в два слоя </t>
  </si>
  <si>
    <r>
      <t xml:space="preserve">Устройство теплоизоляционного слоя из минераловатного утеплителя в один слой с разбежкой швов между рядами </t>
    </r>
    <r>
      <rPr>
        <b/>
        <sz val="12"/>
        <color theme="1"/>
        <rFont val="Arial"/>
        <family val="2"/>
        <charset val="204"/>
      </rPr>
      <t>без мех.крепления</t>
    </r>
  </si>
  <si>
    <r>
      <t xml:space="preserve">Устройство теплоизоляционного слоя из ПИР/ХПС за один слой </t>
    </r>
    <r>
      <rPr>
        <b/>
        <sz val="12"/>
        <color theme="1"/>
        <rFont val="Arial"/>
        <family val="2"/>
        <charset val="204"/>
      </rPr>
      <t>без мех. Крепления</t>
    </r>
  </si>
  <si>
    <r>
      <t xml:space="preserve">Механическое крепление </t>
    </r>
    <r>
      <rPr>
        <b/>
        <sz val="12"/>
        <color theme="1"/>
        <rFont val="Arial"/>
        <family val="2"/>
        <charset val="204"/>
      </rPr>
      <t>по профлисту</t>
    </r>
  </si>
  <si>
    <r>
      <t xml:space="preserve">Механическое крепление </t>
    </r>
    <r>
      <rPr>
        <b/>
        <sz val="12"/>
        <color theme="1"/>
        <rFont val="Arial"/>
        <family val="2"/>
        <charset val="204"/>
      </rPr>
      <t>по ж/б</t>
    </r>
  </si>
  <si>
    <t>Монтаж бруса для карнизного свеса</t>
  </si>
  <si>
    <t>Монтаж ламинированного металла</t>
  </si>
  <si>
    <t>Монтаж металлического водосточного желоба</t>
  </si>
  <si>
    <t>Основание</t>
  </si>
  <si>
    <t>Пароизоляция</t>
  </si>
  <si>
    <t>Контруклон и теплоизоляция</t>
  </si>
  <si>
    <t>Разделительный слой</t>
  </si>
  <si>
    <t>Гидроизоляция</t>
  </si>
  <si>
    <t>Мех. Крепление</t>
  </si>
  <si>
    <t>Парапет</t>
  </si>
  <si>
    <t>Проходки через кровлю</t>
  </si>
  <si>
    <t>Доп</t>
  </si>
  <si>
    <r>
      <t xml:space="preserve">Устройство кровельных </t>
    </r>
    <r>
      <rPr>
        <b/>
        <sz val="12"/>
        <color theme="1"/>
        <rFont val="Arial"/>
        <family val="2"/>
        <charset val="204"/>
      </rPr>
      <t>аэраторов</t>
    </r>
    <r>
      <rPr>
        <sz val="12"/>
        <color theme="1"/>
        <rFont val="Arial"/>
        <family val="2"/>
        <charset val="204"/>
      </rPr>
      <t xml:space="preserve"> </t>
    </r>
  </si>
  <si>
    <r>
      <t xml:space="preserve">Монтаж </t>
    </r>
    <r>
      <rPr>
        <b/>
        <sz val="12"/>
        <color theme="1"/>
        <rFont val="Arial"/>
        <family val="2"/>
        <charset val="204"/>
      </rPr>
      <t>воронок</t>
    </r>
  </si>
  <si>
    <r>
      <t xml:space="preserve">Монтаж </t>
    </r>
    <r>
      <rPr>
        <b/>
        <sz val="12"/>
        <color theme="1"/>
        <rFont val="Arial"/>
        <family val="2"/>
        <charset val="204"/>
      </rPr>
      <t>люков</t>
    </r>
    <r>
      <rPr>
        <sz val="12"/>
        <color theme="1"/>
        <rFont val="Arial"/>
        <family val="2"/>
        <charset val="204"/>
      </rPr>
      <t xml:space="preserve"> дымоудаления</t>
    </r>
  </si>
  <si>
    <r>
      <t xml:space="preserve">Монтаж </t>
    </r>
    <r>
      <rPr>
        <b/>
        <sz val="12"/>
        <color theme="1"/>
        <rFont val="Arial"/>
        <family val="2"/>
        <charset val="204"/>
      </rPr>
      <t>дефлекторов</t>
    </r>
    <r>
      <rPr>
        <sz val="12"/>
        <color theme="1"/>
        <rFont val="Arial"/>
        <family val="2"/>
        <charset val="204"/>
      </rPr>
      <t xml:space="preserve"> (без примыкания)</t>
    </r>
  </si>
  <si>
    <r>
      <t xml:space="preserve">Монтаж </t>
    </r>
    <r>
      <rPr>
        <b/>
        <sz val="12"/>
        <color theme="1"/>
        <rFont val="Arial"/>
        <family val="2"/>
        <charset val="204"/>
      </rPr>
      <t>пешеходных</t>
    </r>
    <r>
      <rPr>
        <sz val="12"/>
        <color theme="1"/>
        <rFont val="Arial"/>
        <family val="2"/>
        <charset val="204"/>
      </rPr>
      <t xml:space="preserve"> дорожек из пазлов, 600*600 мм</t>
    </r>
  </si>
  <si>
    <t>2200 руб/м2 по ж/б без накладных
1400 руб/м2 по профлисту без накладных</t>
  </si>
  <si>
    <r>
      <t xml:space="preserve">Устройство </t>
    </r>
    <r>
      <rPr>
        <b/>
        <sz val="12"/>
        <color theme="1"/>
        <rFont val="Arial"/>
        <family val="2"/>
        <charset val="204"/>
      </rPr>
      <t>парапетных крышек</t>
    </r>
    <r>
      <rPr>
        <sz val="12"/>
        <color theme="1"/>
        <rFont val="Arial"/>
        <family val="2"/>
        <charset val="204"/>
      </rPr>
      <t xml:space="preserve"> в нахлест с мех. Креплением  </t>
    </r>
    <r>
      <rPr>
        <b/>
        <sz val="12"/>
        <color theme="1"/>
        <rFont val="Arial"/>
        <family val="2"/>
        <charset val="204"/>
      </rPr>
      <t>по сендвичу</t>
    </r>
  </si>
  <si>
    <r>
      <t xml:space="preserve">Устройство </t>
    </r>
    <r>
      <rPr>
        <b/>
        <sz val="12"/>
        <color theme="1"/>
        <rFont val="Arial"/>
        <family val="2"/>
        <charset val="204"/>
      </rPr>
      <t>парапетных крышек</t>
    </r>
    <r>
      <rPr>
        <sz val="12"/>
        <color theme="1"/>
        <rFont val="Arial"/>
        <family val="2"/>
        <charset val="204"/>
      </rPr>
      <t xml:space="preserve"> в нахлест с мех крепением  </t>
    </r>
    <r>
      <rPr>
        <b/>
        <sz val="12"/>
        <color theme="1"/>
        <rFont val="Arial"/>
        <family val="2"/>
        <charset val="204"/>
      </rPr>
      <t>по ж/б</t>
    </r>
  </si>
  <si>
    <r>
      <t xml:space="preserve">Утепление и  гидроизоляция из ПВХ мембраны </t>
    </r>
    <r>
      <rPr>
        <b/>
        <sz val="12"/>
        <color theme="1"/>
        <rFont val="Arial"/>
        <family val="2"/>
        <charset val="204"/>
      </rPr>
      <t>стоек-фахверка</t>
    </r>
  </si>
  <si>
    <r>
      <t xml:space="preserve">Утепление и  гидроизоляция из БРМ </t>
    </r>
    <r>
      <rPr>
        <b/>
        <sz val="12"/>
        <color theme="1"/>
        <rFont val="Arial"/>
        <family val="2"/>
        <charset val="204"/>
      </rPr>
      <t>стоек-фахверка</t>
    </r>
    <r>
      <rPr>
        <sz val="12"/>
        <color theme="1"/>
        <rFont val="Arial"/>
        <family val="2"/>
        <charset val="204"/>
      </rPr>
      <t xml:space="preserve"> в два слоя</t>
    </r>
  </si>
  <si>
    <r>
      <t xml:space="preserve">Монтаж </t>
    </r>
    <r>
      <rPr>
        <b/>
        <sz val="12"/>
        <color theme="1"/>
        <rFont val="Arial"/>
        <family val="2"/>
        <charset val="204"/>
      </rPr>
      <t>прижимной и краевой</t>
    </r>
    <r>
      <rPr>
        <sz val="12"/>
        <color theme="1"/>
        <rFont val="Arial"/>
        <family val="2"/>
        <charset val="204"/>
      </rPr>
      <t xml:space="preserve"> кровельной планки </t>
    </r>
    <r>
      <rPr>
        <b/>
        <sz val="12"/>
        <color theme="1"/>
        <rFont val="Arial"/>
        <family val="2"/>
        <charset val="204"/>
      </rPr>
      <t>по сендвичу</t>
    </r>
  </si>
  <si>
    <r>
      <t xml:space="preserve">Монтаж </t>
    </r>
    <r>
      <rPr>
        <b/>
        <sz val="12"/>
        <color theme="1"/>
        <rFont val="Arial"/>
        <family val="2"/>
        <charset val="204"/>
      </rPr>
      <t>прижимной и краевой</t>
    </r>
    <r>
      <rPr>
        <sz val="12"/>
        <color theme="1"/>
        <rFont val="Arial"/>
        <family val="2"/>
        <charset val="204"/>
      </rPr>
      <t xml:space="preserve"> кровельной планки </t>
    </r>
    <r>
      <rPr>
        <b/>
        <sz val="12"/>
        <color theme="1"/>
        <rFont val="Arial"/>
        <family val="2"/>
        <charset val="204"/>
      </rPr>
      <t>по ж/б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</si>
</sst>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1"/>
      <color theme="1"/>
      <name val="Aptos Narrow"/>
      <family val="2"/>
      <scheme val="minor"/>
    </font>
    <font>
      <sz val="12"/>
      <color rgb="FFFF000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theme="1"/>
      <name val="Aptos Narrow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4"/>
      <color rgb="FFFF0000"/>
      <name val="Aptos Narrow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6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44" fontId="2" fillId="0" borderId="1" xfId="1" applyFont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3" borderId="1" xfId="1" applyFont="1" applyFill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6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44" fontId="8" fillId="7" borderId="1" xfId="1" applyFont="1" applyFill="1" applyBorder="1" applyAlignment="1">
      <alignment horizontal="center" vertical="center"/>
    </xf>
    <xf numFmtId="44" fontId="2" fillId="7" borderId="1" xfId="1" applyFont="1" applyFill="1" applyBorder="1" applyAlignment="1">
      <alignment horizontal="center" vertical="center"/>
    </xf>
    <xf numFmtId="44" fontId="7" fillId="7" borderId="1" xfId="1" applyFont="1" applyFill="1" applyBorder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zoomScale="70" zoomScaleNormal="70" workbookViewId="0">
      <pane ySplit="3" topLeftCell="A52" activePane="bottomLeft" state="frozen"/>
      <selection pane="bottomLeft" activeCell="A66" sqref="A66"/>
    </sheetView>
  </sheetViews>
  <sheetFormatPr defaultRowHeight="14.25"/>
  <cols>
    <col min="1" max="1" width="84.75" customWidth="1"/>
    <col min="2" max="2" width="12.875" style="3" customWidth="1"/>
    <col min="3" max="3" width="17.625" style="3" customWidth="1"/>
    <col min="4" max="5" width="15" style="3" customWidth="1"/>
    <col min="6" max="6" width="16.625" style="3" customWidth="1"/>
    <col min="7" max="7" width="16.125" style="3" customWidth="1"/>
    <col min="8" max="8" width="15.875" style="35" customWidth="1"/>
    <col min="9" max="9" width="17" style="3" customWidth="1"/>
    <col min="10" max="10" width="17.125" style="3" customWidth="1"/>
    <col min="11" max="13" width="13.625" style="3" customWidth="1"/>
    <col min="14" max="14" width="16" customWidth="1"/>
  </cols>
  <sheetData>
    <row r="1" spans="1:13" ht="36">
      <c r="A1" s="32" t="s">
        <v>117</v>
      </c>
    </row>
    <row r="2" spans="1:13" ht="34.5" customHeight="1">
      <c r="A2" s="34" t="s">
        <v>3</v>
      </c>
      <c r="B2" s="33" t="s">
        <v>0</v>
      </c>
      <c r="C2" s="33" t="s">
        <v>16</v>
      </c>
      <c r="D2" s="33"/>
      <c r="E2" s="33"/>
      <c r="F2" s="33"/>
      <c r="G2" s="33"/>
      <c r="H2" s="33"/>
      <c r="I2" s="33"/>
      <c r="J2" s="33"/>
      <c r="K2" s="33" t="s">
        <v>21</v>
      </c>
      <c r="L2" s="33" t="s">
        <v>74</v>
      </c>
      <c r="M2" s="33" t="s">
        <v>18</v>
      </c>
    </row>
    <row r="3" spans="1:13" ht="38.25" customHeight="1">
      <c r="A3" s="34"/>
      <c r="B3" s="33"/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36" t="s">
        <v>15</v>
      </c>
      <c r="I3" s="5" t="s">
        <v>78</v>
      </c>
      <c r="J3" s="5" t="s">
        <v>33</v>
      </c>
      <c r="K3" s="33"/>
      <c r="L3" s="33"/>
      <c r="M3" s="33"/>
    </row>
    <row r="4" spans="1:13" s="30" customFormat="1" ht="23.25">
      <c r="A4" s="31" t="s">
        <v>39</v>
      </c>
      <c r="B4" s="26"/>
      <c r="C4" s="27"/>
      <c r="D4" s="27"/>
      <c r="E4" s="27"/>
      <c r="F4" s="27"/>
      <c r="G4" s="27"/>
      <c r="H4" s="37"/>
      <c r="I4" s="27"/>
      <c r="J4" s="27"/>
      <c r="K4" s="28"/>
      <c r="L4" s="29"/>
      <c r="M4" s="29"/>
    </row>
    <row r="5" spans="1:13" s="1" customFormat="1" ht="60">
      <c r="A5" s="9" t="s">
        <v>94</v>
      </c>
      <c r="B5" s="10" t="s">
        <v>1</v>
      </c>
      <c r="C5" s="16">
        <v>585</v>
      </c>
      <c r="D5" s="16">
        <f t="shared" ref="D5:D22" si="0">C5</f>
        <v>585</v>
      </c>
      <c r="E5" s="16">
        <f>C5</f>
        <v>585</v>
      </c>
      <c r="F5" s="16">
        <f>C5</f>
        <v>585</v>
      </c>
      <c r="G5" s="16">
        <f>C5</f>
        <v>585</v>
      </c>
      <c r="H5" s="38">
        <f>C5</f>
        <v>585</v>
      </c>
      <c r="I5" s="16">
        <f>C5</f>
        <v>585</v>
      </c>
      <c r="J5" s="16">
        <f>C5</f>
        <v>585</v>
      </c>
      <c r="K5" s="15"/>
      <c r="L5" s="4"/>
      <c r="M5" s="4" t="s">
        <v>39</v>
      </c>
    </row>
    <row r="6" spans="1:13" s="1" customFormat="1" ht="15">
      <c r="A6" s="9" t="s">
        <v>17</v>
      </c>
      <c r="B6" s="10" t="s">
        <v>1</v>
      </c>
      <c r="C6" s="16">
        <v>180</v>
      </c>
      <c r="D6" s="16">
        <f t="shared" si="0"/>
        <v>180</v>
      </c>
      <c r="E6" s="16">
        <f>C6</f>
        <v>180</v>
      </c>
      <c r="F6" s="16">
        <f>C6</f>
        <v>180</v>
      </c>
      <c r="G6" s="16">
        <f>C6</f>
        <v>180</v>
      </c>
      <c r="H6" s="38">
        <f>C6</f>
        <v>180</v>
      </c>
      <c r="I6" s="16">
        <f>C6</f>
        <v>180</v>
      </c>
      <c r="J6" s="16">
        <f>C6</f>
        <v>180</v>
      </c>
      <c r="K6" s="16"/>
      <c r="L6" s="2"/>
      <c r="M6" s="4" t="s">
        <v>39</v>
      </c>
    </row>
    <row r="7" spans="1:13" s="1" customFormat="1" ht="15">
      <c r="A7" s="11" t="s">
        <v>7</v>
      </c>
      <c r="B7" s="10" t="s">
        <v>2</v>
      </c>
      <c r="C7" s="16">
        <v>8000</v>
      </c>
      <c r="D7" s="16">
        <f t="shared" si="0"/>
        <v>8000</v>
      </c>
      <c r="E7" s="16">
        <f>C7</f>
        <v>8000</v>
      </c>
      <c r="F7" s="16">
        <f>C7</f>
        <v>8000</v>
      </c>
      <c r="G7" s="16">
        <f>C7</f>
        <v>8000</v>
      </c>
      <c r="H7" s="38">
        <f>C7</f>
        <v>8000</v>
      </c>
      <c r="I7" s="16">
        <f>C7</f>
        <v>8000</v>
      </c>
      <c r="J7" s="16">
        <f>C7</f>
        <v>8000</v>
      </c>
      <c r="K7" s="16"/>
      <c r="L7" s="2"/>
      <c r="M7" s="4" t="s">
        <v>39</v>
      </c>
    </row>
    <row r="8" spans="1:13" s="1" customFormat="1" ht="15">
      <c r="A8" s="12" t="s">
        <v>93</v>
      </c>
      <c r="B8" s="6" t="s">
        <v>2</v>
      </c>
      <c r="C8" s="16">
        <v>8000</v>
      </c>
      <c r="D8" s="16">
        <f t="shared" si="0"/>
        <v>8000</v>
      </c>
      <c r="E8" s="16">
        <f>C8</f>
        <v>8000</v>
      </c>
      <c r="F8" s="16">
        <f>C8</f>
        <v>8000</v>
      </c>
      <c r="G8" s="16">
        <f>C8</f>
        <v>8000</v>
      </c>
      <c r="H8" s="38">
        <f>C8</f>
        <v>8000</v>
      </c>
      <c r="I8" s="16">
        <f>C8</f>
        <v>8000</v>
      </c>
      <c r="J8" s="16">
        <f>C8</f>
        <v>8000</v>
      </c>
      <c r="K8" s="16"/>
      <c r="L8" s="2"/>
      <c r="M8" s="4" t="s">
        <v>39</v>
      </c>
    </row>
    <row r="9" spans="1:13" s="30" customFormat="1" ht="23.25">
      <c r="A9" s="31" t="s">
        <v>103</v>
      </c>
      <c r="B9" s="26"/>
      <c r="C9" s="27"/>
      <c r="D9" s="27"/>
      <c r="E9" s="27"/>
      <c r="F9" s="27"/>
      <c r="G9" s="27"/>
      <c r="H9" s="37"/>
      <c r="I9" s="27"/>
      <c r="J9" s="27"/>
      <c r="K9" s="28"/>
      <c r="L9" s="29"/>
      <c r="M9" s="29"/>
    </row>
    <row r="10" spans="1:13" s="1" customFormat="1" ht="15">
      <c r="A10" s="9" t="s">
        <v>22</v>
      </c>
      <c r="B10" s="10" t="s">
        <v>1</v>
      </c>
      <c r="C10" s="15">
        <v>100</v>
      </c>
      <c r="D10" s="15">
        <f t="shared" si="0"/>
        <v>100</v>
      </c>
      <c r="E10" s="15">
        <f>C10</f>
        <v>100</v>
      </c>
      <c r="F10" s="15">
        <v>80</v>
      </c>
      <c r="G10" s="15">
        <f>F10</f>
        <v>80</v>
      </c>
      <c r="H10" s="38">
        <f>F10</f>
        <v>80</v>
      </c>
      <c r="I10" s="15">
        <f>F10</f>
        <v>80</v>
      </c>
      <c r="J10" s="15">
        <f>F10</f>
        <v>80</v>
      </c>
      <c r="K10" s="15" t="s">
        <v>23</v>
      </c>
      <c r="L10" s="4"/>
      <c r="M10" s="4"/>
    </row>
    <row r="11" spans="1:13" s="1" customFormat="1" ht="15">
      <c r="A11" s="9" t="s">
        <v>69</v>
      </c>
      <c r="B11" s="10" t="s">
        <v>1</v>
      </c>
      <c r="C11" s="15">
        <v>460</v>
      </c>
      <c r="D11" s="15">
        <f t="shared" si="0"/>
        <v>460</v>
      </c>
      <c r="E11" s="15">
        <v>440</v>
      </c>
      <c r="F11" s="15">
        <v>420</v>
      </c>
      <c r="G11" s="15">
        <v>380</v>
      </c>
      <c r="H11" s="38">
        <v>320</v>
      </c>
      <c r="I11" s="15">
        <v>300</v>
      </c>
      <c r="J11" s="15">
        <v>280</v>
      </c>
      <c r="K11" s="15"/>
      <c r="L11" s="4"/>
      <c r="M11" s="4"/>
    </row>
    <row r="12" spans="1:13" s="1" customFormat="1" ht="15">
      <c r="A12" s="9" t="s">
        <v>53</v>
      </c>
      <c r="B12" s="10" t="s">
        <v>1</v>
      </c>
      <c r="C12" s="15">
        <v>1500</v>
      </c>
      <c r="D12" s="15">
        <f t="shared" si="0"/>
        <v>1500</v>
      </c>
      <c r="E12" s="15">
        <v>1200</v>
      </c>
      <c r="F12" s="15">
        <v>1000</v>
      </c>
      <c r="G12" s="15">
        <f>F12</f>
        <v>1000</v>
      </c>
      <c r="H12" s="38">
        <v>800</v>
      </c>
      <c r="I12" s="15">
        <v>700</v>
      </c>
      <c r="J12" s="15">
        <v>600</v>
      </c>
      <c r="K12" s="15"/>
      <c r="L12" s="4"/>
      <c r="M12" s="4"/>
    </row>
    <row r="13" spans="1:13" s="1" customFormat="1" ht="15">
      <c r="A13" s="9" t="s">
        <v>24</v>
      </c>
      <c r="B13" s="10" t="s">
        <v>1</v>
      </c>
      <c r="C13" s="15">
        <v>400</v>
      </c>
      <c r="D13" s="15">
        <f t="shared" si="0"/>
        <v>400</v>
      </c>
      <c r="E13" s="15">
        <v>300</v>
      </c>
      <c r="F13" s="15">
        <f>E13</f>
        <v>300</v>
      </c>
      <c r="G13" s="15">
        <v>250</v>
      </c>
      <c r="H13" s="38">
        <v>230</v>
      </c>
      <c r="I13" s="15">
        <v>200</v>
      </c>
      <c r="J13" s="15">
        <v>180</v>
      </c>
      <c r="K13" s="15" t="s">
        <v>25</v>
      </c>
      <c r="L13" s="4"/>
      <c r="M13" s="4"/>
    </row>
    <row r="14" spans="1:13" s="1" customFormat="1" ht="34.5" customHeight="1">
      <c r="A14" s="9" t="s">
        <v>92</v>
      </c>
      <c r="B14" s="10" t="s">
        <v>4</v>
      </c>
      <c r="C14" s="15">
        <v>160</v>
      </c>
      <c r="D14" s="15">
        <f t="shared" si="0"/>
        <v>160</v>
      </c>
      <c r="E14" s="15">
        <f>C14</f>
        <v>160</v>
      </c>
      <c r="F14" s="15">
        <f>C14</f>
        <v>160</v>
      </c>
      <c r="G14" s="15">
        <f>C14</f>
        <v>160</v>
      </c>
      <c r="H14" s="38">
        <f>C14</f>
        <v>160</v>
      </c>
      <c r="I14" s="15">
        <f>C14</f>
        <v>160</v>
      </c>
      <c r="J14" s="15">
        <f>C14</f>
        <v>160</v>
      </c>
      <c r="K14" s="15"/>
      <c r="L14" s="4"/>
      <c r="M14" s="4"/>
    </row>
    <row r="15" spans="1:13" s="1" customFormat="1" ht="15">
      <c r="A15" s="9" t="s">
        <v>5</v>
      </c>
      <c r="B15" s="10" t="s">
        <v>4</v>
      </c>
      <c r="C15" s="15">
        <v>240</v>
      </c>
      <c r="D15" s="15">
        <f t="shared" si="0"/>
        <v>240</v>
      </c>
      <c r="E15" s="15">
        <f>C15</f>
        <v>240</v>
      </c>
      <c r="F15" s="15">
        <f>C15</f>
        <v>240</v>
      </c>
      <c r="G15" s="15">
        <f>C15</f>
        <v>240</v>
      </c>
      <c r="H15" s="38">
        <f>C15</f>
        <v>240</v>
      </c>
      <c r="I15" s="15">
        <f>C15</f>
        <v>240</v>
      </c>
      <c r="J15" s="15">
        <f>C15</f>
        <v>240</v>
      </c>
      <c r="K15" s="15"/>
      <c r="L15" s="4"/>
      <c r="M15" s="4"/>
    </row>
    <row r="16" spans="1:13" s="1" customFormat="1" ht="30">
      <c r="A16" s="9" t="s">
        <v>26</v>
      </c>
      <c r="B16" s="10" t="s">
        <v>1</v>
      </c>
      <c r="C16" s="15">
        <v>400</v>
      </c>
      <c r="D16" s="15">
        <f t="shared" si="0"/>
        <v>400</v>
      </c>
      <c r="E16" s="15">
        <f>C16</f>
        <v>400</v>
      </c>
      <c r="F16" s="15">
        <f>C16</f>
        <v>400</v>
      </c>
      <c r="G16" s="15">
        <f>C16</f>
        <v>400</v>
      </c>
      <c r="H16" s="38">
        <f>C16</f>
        <v>400</v>
      </c>
      <c r="I16" s="15">
        <f>C16</f>
        <v>400</v>
      </c>
      <c r="J16" s="15">
        <f>C16</f>
        <v>400</v>
      </c>
      <c r="K16" s="15" t="s">
        <v>25</v>
      </c>
      <c r="L16" s="4"/>
      <c r="M16" s="4"/>
    </row>
    <row r="17" spans="1:13" s="1" customFormat="1" ht="30">
      <c r="A17" s="9" t="s">
        <v>91</v>
      </c>
      <c r="B17" s="13" t="s">
        <v>9</v>
      </c>
      <c r="C17" s="15">
        <v>120</v>
      </c>
      <c r="D17" s="15">
        <f t="shared" si="0"/>
        <v>120</v>
      </c>
      <c r="E17" s="15">
        <f>C17</f>
        <v>120</v>
      </c>
      <c r="F17" s="15">
        <f>C17</f>
        <v>120</v>
      </c>
      <c r="G17" s="15">
        <f>C17</f>
        <v>120</v>
      </c>
      <c r="H17" s="38">
        <f>C17</f>
        <v>120</v>
      </c>
      <c r="I17" s="15">
        <f>C17</f>
        <v>120</v>
      </c>
      <c r="J17" s="15">
        <f>C17</f>
        <v>120</v>
      </c>
      <c r="K17" s="15" t="s">
        <v>25</v>
      </c>
      <c r="L17" s="4"/>
      <c r="M17" s="4"/>
    </row>
    <row r="18" spans="1:13" s="1" customFormat="1" ht="15">
      <c r="A18" s="9" t="s">
        <v>65</v>
      </c>
      <c r="B18" s="13" t="s">
        <v>9</v>
      </c>
      <c r="C18" s="15">
        <v>250</v>
      </c>
      <c r="D18" s="15">
        <f t="shared" si="0"/>
        <v>250</v>
      </c>
      <c r="E18" s="15">
        <f>C18</f>
        <v>250</v>
      </c>
      <c r="F18" s="15">
        <v>230</v>
      </c>
      <c r="G18" s="15">
        <v>200</v>
      </c>
      <c r="H18" s="38">
        <v>180</v>
      </c>
      <c r="I18" s="15">
        <v>150</v>
      </c>
      <c r="J18" s="15">
        <v>120</v>
      </c>
      <c r="K18" s="15" t="s">
        <v>23</v>
      </c>
      <c r="L18" s="4"/>
      <c r="M18" s="4"/>
    </row>
    <row r="19" spans="1:13" s="1" customFormat="1" ht="15">
      <c r="A19" s="7" t="s">
        <v>52</v>
      </c>
      <c r="B19" s="6" t="s">
        <v>1</v>
      </c>
      <c r="C19" s="15">
        <v>120</v>
      </c>
      <c r="D19" s="15">
        <f t="shared" si="0"/>
        <v>120</v>
      </c>
      <c r="E19" s="15">
        <v>100</v>
      </c>
      <c r="F19" s="15">
        <f>E19</f>
        <v>100</v>
      </c>
      <c r="G19" s="15">
        <v>90</v>
      </c>
      <c r="H19" s="38">
        <v>80</v>
      </c>
      <c r="I19" s="15">
        <v>60</v>
      </c>
      <c r="J19" s="15">
        <v>50</v>
      </c>
      <c r="K19" s="15" t="s">
        <v>23</v>
      </c>
      <c r="L19" s="4"/>
      <c r="M19" s="4"/>
    </row>
    <row r="20" spans="1:13" s="30" customFormat="1" ht="23.25">
      <c r="A20" s="31" t="s">
        <v>104</v>
      </c>
      <c r="B20" s="26"/>
      <c r="C20" s="27"/>
      <c r="D20" s="27"/>
      <c r="E20" s="27"/>
      <c r="F20" s="27"/>
      <c r="G20" s="27"/>
      <c r="H20" s="37"/>
      <c r="I20" s="27"/>
      <c r="J20" s="27"/>
      <c r="K20" s="28"/>
      <c r="L20" s="29"/>
      <c r="M20" s="29"/>
    </row>
    <row r="21" spans="1:13" s="1" customFormat="1" ht="15">
      <c r="A21" s="17" t="s">
        <v>6</v>
      </c>
      <c r="B21" s="18" t="s">
        <v>1</v>
      </c>
      <c r="C21" s="19">
        <v>120</v>
      </c>
      <c r="D21" s="19">
        <f t="shared" si="0"/>
        <v>120</v>
      </c>
      <c r="E21" s="19">
        <v>110</v>
      </c>
      <c r="F21" s="19">
        <v>100</v>
      </c>
      <c r="G21" s="19">
        <v>80</v>
      </c>
      <c r="H21" s="38">
        <v>60</v>
      </c>
      <c r="I21" s="19">
        <v>40</v>
      </c>
      <c r="J21" s="19">
        <v>50</v>
      </c>
      <c r="K21" s="15" t="s">
        <v>25</v>
      </c>
      <c r="L21" s="4"/>
      <c r="M21" s="4"/>
    </row>
    <row r="22" spans="1:13" s="1" customFormat="1" ht="15">
      <c r="A22" s="9" t="s">
        <v>27</v>
      </c>
      <c r="B22" s="10" t="s">
        <v>1</v>
      </c>
      <c r="C22" s="15">
        <v>150</v>
      </c>
      <c r="D22" s="15">
        <f t="shared" si="0"/>
        <v>150</v>
      </c>
      <c r="E22" s="15">
        <v>130</v>
      </c>
      <c r="F22" s="15">
        <v>130</v>
      </c>
      <c r="G22" s="15">
        <v>110</v>
      </c>
      <c r="H22" s="38">
        <v>90</v>
      </c>
      <c r="I22" s="15">
        <v>80</v>
      </c>
      <c r="J22" s="15">
        <v>56</v>
      </c>
      <c r="K22" s="15" t="s">
        <v>25</v>
      </c>
      <c r="L22" s="4"/>
      <c r="M22" s="4"/>
    </row>
    <row r="23" spans="1:13" s="1" customFormat="1" ht="30">
      <c r="A23" s="9" t="s">
        <v>20</v>
      </c>
      <c r="B23" s="10" t="s">
        <v>1</v>
      </c>
      <c r="C23" s="15">
        <v>250</v>
      </c>
      <c r="D23" s="15">
        <v>240</v>
      </c>
      <c r="E23" s="15">
        <v>220</v>
      </c>
      <c r="F23" s="15">
        <v>180</v>
      </c>
      <c r="G23" s="15">
        <v>150</v>
      </c>
      <c r="H23" s="38">
        <v>150</v>
      </c>
      <c r="I23" s="15">
        <v>120</v>
      </c>
      <c r="J23" s="15">
        <v>120</v>
      </c>
      <c r="K23" s="15" t="s">
        <v>23</v>
      </c>
      <c r="L23" s="4" t="s">
        <v>34</v>
      </c>
      <c r="M23" s="4"/>
    </row>
    <row r="24" spans="1:13" s="1" customFormat="1" ht="30">
      <c r="A24" s="9" t="s">
        <v>19</v>
      </c>
      <c r="B24" s="10" t="s">
        <v>1</v>
      </c>
      <c r="C24" s="15">
        <v>215</v>
      </c>
      <c r="D24" s="15">
        <v>205</v>
      </c>
      <c r="E24" s="15">
        <v>190</v>
      </c>
      <c r="F24" s="15">
        <v>150</v>
      </c>
      <c r="G24" s="15">
        <v>130</v>
      </c>
      <c r="H24" s="38">
        <v>130</v>
      </c>
      <c r="I24" s="15">
        <v>100</v>
      </c>
      <c r="J24" s="15">
        <v>100</v>
      </c>
      <c r="K24" s="15" t="s">
        <v>23</v>
      </c>
      <c r="L24" s="4" t="s">
        <v>34</v>
      </c>
      <c r="M24" s="4"/>
    </row>
    <row r="25" spans="1:13" s="30" customFormat="1" ht="23.25">
      <c r="A25" s="31" t="s">
        <v>105</v>
      </c>
      <c r="B25" s="26"/>
      <c r="C25" s="27"/>
      <c r="D25" s="27"/>
      <c r="E25" s="27"/>
      <c r="F25" s="27"/>
      <c r="G25" s="27"/>
      <c r="H25" s="37"/>
      <c r="I25" s="27"/>
      <c r="J25" s="27"/>
      <c r="K25" s="28"/>
      <c r="L25" s="29"/>
      <c r="M25" s="29"/>
    </row>
    <row r="26" spans="1:13" s="1" customFormat="1" ht="15">
      <c r="A26" s="9" t="s">
        <v>90</v>
      </c>
      <c r="B26" s="10" t="s">
        <v>1</v>
      </c>
      <c r="C26" s="15">
        <v>500</v>
      </c>
      <c r="D26" s="15">
        <f>C26</f>
        <v>500</v>
      </c>
      <c r="E26" s="15">
        <v>400</v>
      </c>
      <c r="F26" s="15">
        <v>380</v>
      </c>
      <c r="G26" s="15">
        <v>380</v>
      </c>
      <c r="H26" s="38">
        <v>340</v>
      </c>
      <c r="I26" s="15">
        <v>320</v>
      </c>
      <c r="J26" s="15">
        <v>280</v>
      </c>
      <c r="K26" s="15"/>
      <c r="L26" s="4"/>
      <c r="M26" s="4"/>
    </row>
    <row r="27" spans="1:13" s="1" customFormat="1" ht="15">
      <c r="A27" s="7" t="s">
        <v>89</v>
      </c>
      <c r="B27" s="6" t="s">
        <v>1</v>
      </c>
      <c r="C27" s="16">
        <f>C26-(C26*20%)</f>
        <v>400</v>
      </c>
      <c r="D27" s="16">
        <f t="shared" ref="D27:E27" si="1">D26-(D26*20%)</f>
        <v>400</v>
      </c>
      <c r="E27" s="16">
        <f t="shared" si="1"/>
        <v>320</v>
      </c>
      <c r="F27" s="16">
        <v>310</v>
      </c>
      <c r="G27" s="16">
        <v>300</v>
      </c>
      <c r="H27" s="38">
        <v>270</v>
      </c>
      <c r="I27" s="16">
        <v>255</v>
      </c>
      <c r="J27" s="16">
        <v>225</v>
      </c>
      <c r="K27" s="15"/>
      <c r="L27" s="4"/>
      <c r="M27" s="4"/>
    </row>
    <row r="28" spans="1:13" s="1" customFormat="1" ht="15.75">
      <c r="A28" s="9" t="s">
        <v>97</v>
      </c>
      <c r="B28" s="10" t="s">
        <v>1</v>
      </c>
      <c r="C28" s="15">
        <f>C29-20</f>
        <v>180</v>
      </c>
      <c r="D28" s="15">
        <f t="shared" ref="D28:J28" si="2">D29-20</f>
        <v>180</v>
      </c>
      <c r="E28" s="15">
        <f t="shared" si="2"/>
        <v>140</v>
      </c>
      <c r="F28" s="15">
        <f t="shared" si="2"/>
        <v>140</v>
      </c>
      <c r="G28" s="15">
        <f t="shared" si="2"/>
        <v>140</v>
      </c>
      <c r="H28" s="38">
        <f t="shared" si="2"/>
        <v>140</v>
      </c>
      <c r="I28" s="15">
        <f t="shared" si="2"/>
        <v>140</v>
      </c>
      <c r="J28" s="15">
        <f t="shared" si="2"/>
        <v>140</v>
      </c>
      <c r="K28" s="15"/>
      <c r="L28" s="4"/>
      <c r="M28" s="4"/>
    </row>
    <row r="29" spans="1:13" s="1" customFormat="1" ht="30.75">
      <c r="A29" s="17" t="s">
        <v>96</v>
      </c>
      <c r="B29" s="18" t="s">
        <v>1</v>
      </c>
      <c r="C29" s="19">
        <v>200</v>
      </c>
      <c r="D29" s="19">
        <v>200</v>
      </c>
      <c r="E29" s="19">
        <v>160</v>
      </c>
      <c r="F29" s="19">
        <v>160</v>
      </c>
      <c r="G29" s="19">
        <v>160</v>
      </c>
      <c r="H29" s="38">
        <v>160</v>
      </c>
      <c r="I29" s="19">
        <v>160</v>
      </c>
      <c r="J29" s="19">
        <v>160</v>
      </c>
      <c r="K29" s="15"/>
      <c r="L29" s="4"/>
      <c r="M29" s="4"/>
    </row>
    <row r="30" spans="1:13" s="30" customFormat="1" ht="23.25">
      <c r="A30" s="31" t="s">
        <v>106</v>
      </c>
      <c r="B30" s="26"/>
      <c r="C30" s="27"/>
      <c r="D30" s="27"/>
      <c r="E30" s="27"/>
      <c r="F30" s="27"/>
      <c r="G30" s="27"/>
      <c r="H30" s="37"/>
      <c r="I30" s="27"/>
      <c r="J30" s="27"/>
      <c r="K30" s="28"/>
      <c r="L30" s="29"/>
      <c r="M30" s="29"/>
    </row>
    <row r="31" spans="1:13" s="1" customFormat="1" ht="15">
      <c r="A31" s="9" t="s">
        <v>28</v>
      </c>
      <c r="B31" s="10" t="s">
        <v>1</v>
      </c>
      <c r="C31" s="15">
        <v>100</v>
      </c>
      <c r="D31" s="15">
        <f>C31</f>
        <v>100</v>
      </c>
      <c r="E31" s="15">
        <f>C31</f>
        <v>100</v>
      </c>
      <c r="F31" s="15">
        <v>80</v>
      </c>
      <c r="G31" s="15">
        <f>F31</f>
        <v>80</v>
      </c>
      <c r="H31" s="38">
        <v>60</v>
      </c>
      <c r="I31" s="15">
        <v>40</v>
      </c>
      <c r="J31" s="15">
        <f>I31</f>
        <v>40</v>
      </c>
      <c r="K31" s="15"/>
      <c r="L31" s="4"/>
      <c r="M31" s="4"/>
    </row>
    <row r="32" spans="1:13" s="30" customFormat="1" ht="23.25">
      <c r="A32" s="31" t="s">
        <v>107</v>
      </c>
      <c r="B32" s="26"/>
      <c r="C32" s="27"/>
      <c r="D32" s="27"/>
      <c r="E32" s="27"/>
      <c r="F32" s="27"/>
      <c r="G32" s="27"/>
      <c r="H32" s="37"/>
      <c r="I32" s="27"/>
      <c r="J32" s="27"/>
      <c r="K32" s="28"/>
      <c r="L32" s="29"/>
      <c r="M32" s="29"/>
    </row>
    <row r="33" spans="1:13" s="1" customFormat="1" ht="46.5">
      <c r="A33" s="17" t="s">
        <v>29</v>
      </c>
      <c r="B33" s="18" t="s">
        <v>1</v>
      </c>
      <c r="C33" s="19">
        <v>385</v>
      </c>
      <c r="D33" s="19">
        <v>385</v>
      </c>
      <c r="E33" s="19">
        <v>385</v>
      </c>
      <c r="F33" s="19">
        <v>350</v>
      </c>
      <c r="G33" s="19">
        <f t="shared" ref="G33" si="3">G34-(G34*20%)</f>
        <v>320</v>
      </c>
      <c r="H33" s="38">
        <v>310</v>
      </c>
      <c r="I33" s="19">
        <v>270</v>
      </c>
      <c r="J33" s="19">
        <v>260</v>
      </c>
      <c r="K33" s="15" t="s">
        <v>25</v>
      </c>
      <c r="L33" s="4" t="s">
        <v>35</v>
      </c>
      <c r="M33" s="4"/>
    </row>
    <row r="34" spans="1:13" s="1" customFormat="1" ht="46.5">
      <c r="A34" s="9" t="s">
        <v>30</v>
      </c>
      <c r="B34" s="10" t="s">
        <v>1</v>
      </c>
      <c r="C34" s="15">
        <f>C35</f>
        <v>480</v>
      </c>
      <c r="D34" s="15">
        <f t="shared" ref="D34:J34" si="4">D35</f>
        <v>480</v>
      </c>
      <c r="E34" s="15">
        <f t="shared" si="4"/>
        <v>480</v>
      </c>
      <c r="F34" s="15">
        <f t="shared" si="4"/>
        <v>440</v>
      </c>
      <c r="G34" s="15">
        <f t="shared" si="4"/>
        <v>400</v>
      </c>
      <c r="H34" s="38">
        <f t="shared" si="4"/>
        <v>384</v>
      </c>
      <c r="I34" s="15">
        <f t="shared" si="4"/>
        <v>336</v>
      </c>
      <c r="J34" s="15">
        <f t="shared" si="4"/>
        <v>320</v>
      </c>
      <c r="K34" s="15" t="s">
        <v>25</v>
      </c>
      <c r="L34" s="4" t="s">
        <v>35</v>
      </c>
      <c r="M34" s="4"/>
    </row>
    <row r="35" spans="1:13" s="1" customFormat="1" ht="46.5">
      <c r="A35" s="9" t="s">
        <v>31</v>
      </c>
      <c r="B35" s="10" t="s">
        <v>1</v>
      </c>
      <c r="C35" s="15">
        <f>C36-(C36*20%)</f>
        <v>480</v>
      </c>
      <c r="D35" s="15">
        <f t="shared" ref="D35:J35" si="5">D36-(D36*20%)</f>
        <v>480</v>
      </c>
      <c r="E35" s="15">
        <f t="shared" si="5"/>
        <v>480</v>
      </c>
      <c r="F35" s="15">
        <f t="shared" si="5"/>
        <v>440</v>
      </c>
      <c r="G35" s="15">
        <f t="shared" si="5"/>
        <v>400</v>
      </c>
      <c r="H35" s="38">
        <f t="shared" si="5"/>
        <v>384</v>
      </c>
      <c r="I35" s="15">
        <f t="shared" si="5"/>
        <v>336</v>
      </c>
      <c r="J35" s="15">
        <f t="shared" si="5"/>
        <v>320</v>
      </c>
      <c r="K35" s="15" t="s">
        <v>23</v>
      </c>
      <c r="L35" s="4" t="s">
        <v>35</v>
      </c>
      <c r="M35" s="4"/>
    </row>
    <row r="36" spans="1:13" s="1" customFormat="1" ht="46.5">
      <c r="A36" s="9" t="s">
        <v>32</v>
      </c>
      <c r="B36" s="10" t="s">
        <v>1</v>
      </c>
      <c r="C36" s="15">
        <v>600</v>
      </c>
      <c r="D36" s="15">
        <f>C36</f>
        <v>600</v>
      </c>
      <c r="E36" s="15">
        <f>C36</f>
        <v>600</v>
      </c>
      <c r="F36" s="15">
        <v>550</v>
      </c>
      <c r="G36" s="15">
        <v>500</v>
      </c>
      <c r="H36" s="38">
        <v>480</v>
      </c>
      <c r="I36" s="15">
        <v>420</v>
      </c>
      <c r="J36" s="15">
        <v>400</v>
      </c>
      <c r="K36" s="15" t="s">
        <v>23</v>
      </c>
      <c r="L36" s="4" t="s">
        <v>35</v>
      </c>
      <c r="M36" s="4"/>
    </row>
    <row r="37" spans="1:13" s="1" customFormat="1" ht="30">
      <c r="A37" s="9" t="s">
        <v>66</v>
      </c>
      <c r="B37" s="10" t="s">
        <v>1</v>
      </c>
      <c r="C37" s="15">
        <v>520</v>
      </c>
      <c r="D37" s="15">
        <v>500</v>
      </c>
      <c r="E37" s="15">
        <v>460</v>
      </c>
      <c r="F37" s="15">
        <v>400</v>
      </c>
      <c r="G37" s="15">
        <v>380</v>
      </c>
      <c r="H37" s="38">
        <v>360</v>
      </c>
      <c r="I37" s="15">
        <v>320</v>
      </c>
      <c r="J37" s="15">
        <v>260</v>
      </c>
      <c r="K37" s="15" t="s">
        <v>23</v>
      </c>
      <c r="L37" s="4" t="s">
        <v>34</v>
      </c>
      <c r="M37" s="4"/>
    </row>
    <row r="38" spans="1:13" s="1" customFormat="1" ht="31.5">
      <c r="A38" s="9" t="s">
        <v>48</v>
      </c>
      <c r="B38" s="10" t="s">
        <v>1</v>
      </c>
      <c r="C38" s="15">
        <f t="shared" ref="C38:J38" si="6">C33</f>
        <v>385</v>
      </c>
      <c r="D38" s="15">
        <f t="shared" si="6"/>
        <v>385</v>
      </c>
      <c r="E38" s="15">
        <f t="shared" si="6"/>
        <v>385</v>
      </c>
      <c r="F38" s="15">
        <f t="shared" si="6"/>
        <v>350</v>
      </c>
      <c r="G38" s="15">
        <f t="shared" si="6"/>
        <v>320</v>
      </c>
      <c r="H38" s="38">
        <f t="shared" si="6"/>
        <v>310</v>
      </c>
      <c r="I38" s="15">
        <f t="shared" si="6"/>
        <v>270</v>
      </c>
      <c r="J38" s="15">
        <f t="shared" si="6"/>
        <v>260</v>
      </c>
      <c r="K38" s="15" t="s">
        <v>25</v>
      </c>
      <c r="L38" s="4" t="s">
        <v>34</v>
      </c>
      <c r="M38" s="4"/>
    </row>
    <row r="39" spans="1:13" s="1" customFormat="1" ht="15.75">
      <c r="A39" s="9" t="s">
        <v>49</v>
      </c>
      <c r="B39" s="10" t="s">
        <v>1</v>
      </c>
      <c r="C39" s="15">
        <f t="shared" ref="C39:J39" si="7">C35</f>
        <v>480</v>
      </c>
      <c r="D39" s="15">
        <f t="shared" si="7"/>
        <v>480</v>
      </c>
      <c r="E39" s="15">
        <f t="shared" si="7"/>
        <v>480</v>
      </c>
      <c r="F39" s="15">
        <f t="shared" si="7"/>
        <v>440</v>
      </c>
      <c r="G39" s="15">
        <f t="shared" si="7"/>
        <v>400</v>
      </c>
      <c r="H39" s="38">
        <f t="shared" si="7"/>
        <v>384</v>
      </c>
      <c r="I39" s="15">
        <f t="shared" si="7"/>
        <v>336</v>
      </c>
      <c r="J39" s="15">
        <f t="shared" si="7"/>
        <v>320</v>
      </c>
      <c r="K39" s="15" t="s">
        <v>23</v>
      </c>
      <c r="L39" s="4" t="s">
        <v>34</v>
      </c>
      <c r="M39" s="4"/>
    </row>
    <row r="40" spans="1:13" s="1" customFormat="1" ht="15">
      <c r="A40" s="9" t="s">
        <v>47</v>
      </c>
      <c r="B40" s="10" t="s">
        <v>1</v>
      </c>
      <c r="C40" s="15">
        <f>C37/2</f>
        <v>260</v>
      </c>
      <c r="D40" s="15">
        <f t="shared" ref="D40:J40" si="8">D37/2</f>
        <v>250</v>
      </c>
      <c r="E40" s="15">
        <f t="shared" si="8"/>
        <v>230</v>
      </c>
      <c r="F40" s="15">
        <f t="shared" si="8"/>
        <v>200</v>
      </c>
      <c r="G40" s="15">
        <f t="shared" si="8"/>
        <v>190</v>
      </c>
      <c r="H40" s="38">
        <f t="shared" si="8"/>
        <v>180</v>
      </c>
      <c r="I40" s="15">
        <f t="shared" si="8"/>
        <v>160</v>
      </c>
      <c r="J40" s="15">
        <f t="shared" si="8"/>
        <v>130</v>
      </c>
      <c r="K40" s="15" t="s">
        <v>23</v>
      </c>
      <c r="L40" s="4" t="s">
        <v>34</v>
      </c>
      <c r="M40" s="4"/>
    </row>
    <row r="41" spans="1:13" s="30" customFormat="1" ht="23.25">
      <c r="A41" s="31" t="s">
        <v>108</v>
      </c>
      <c r="B41" s="26"/>
      <c r="C41" s="27"/>
      <c r="D41" s="27"/>
      <c r="E41" s="27"/>
      <c r="F41" s="27"/>
      <c r="G41" s="27"/>
      <c r="H41" s="37"/>
      <c r="I41" s="27"/>
      <c r="J41" s="27"/>
      <c r="K41" s="28"/>
      <c r="L41" s="29"/>
      <c r="M41" s="29"/>
    </row>
    <row r="42" spans="1:13" s="1" customFormat="1" ht="15.75">
      <c r="A42" s="20" t="s">
        <v>98</v>
      </c>
      <c r="B42" s="21" t="s">
        <v>1</v>
      </c>
      <c r="C42" s="22">
        <v>110</v>
      </c>
      <c r="D42" s="22">
        <v>110</v>
      </c>
      <c r="E42" s="22">
        <v>95</v>
      </c>
      <c r="F42" s="22">
        <f>F43-(F43*25%)</f>
        <v>90</v>
      </c>
      <c r="G42" s="22">
        <f>G43-(G43*25%)</f>
        <v>75</v>
      </c>
      <c r="H42" s="38">
        <f>H43-(H43*25%)</f>
        <v>75</v>
      </c>
      <c r="I42" s="22">
        <f>I43-(I43*25%)</f>
        <v>60</v>
      </c>
      <c r="J42" s="22">
        <f>J43-(J43*25%)</f>
        <v>45</v>
      </c>
      <c r="K42" s="22" t="s">
        <v>25</v>
      </c>
      <c r="L42" s="4" t="s">
        <v>35</v>
      </c>
      <c r="M42" s="4"/>
    </row>
    <row r="43" spans="1:13" s="1" customFormat="1" ht="15.75">
      <c r="A43" s="9" t="s">
        <v>99</v>
      </c>
      <c r="B43" s="10" t="s">
        <v>1</v>
      </c>
      <c r="C43" s="15">
        <v>150</v>
      </c>
      <c r="D43" s="15">
        <f>C43</f>
        <v>150</v>
      </c>
      <c r="E43" s="15">
        <v>130</v>
      </c>
      <c r="F43" s="15">
        <v>120</v>
      </c>
      <c r="G43" s="15">
        <v>100</v>
      </c>
      <c r="H43" s="38">
        <v>100</v>
      </c>
      <c r="I43" s="15">
        <v>80</v>
      </c>
      <c r="J43" s="15">
        <v>60</v>
      </c>
      <c r="K43" s="15" t="s">
        <v>23</v>
      </c>
      <c r="L43" s="4" t="s">
        <v>35</v>
      </c>
      <c r="M43" s="4"/>
    </row>
    <row r="44" spans="1:13" s="30" customFormat="1" ht="23.25">
      <c r="A44" s="31" t="s">
        <v>109</v>
      </c>
      <c r="B44" s="26"/>
      <c r="C44" s="27"/>
      <c r="D44" s="27"/>
      <c r="E44" s="27"/>
      <c r="F44" s="27"/>
      <c r="G44" s="27"/>
      <c r="H44" s="37"/>
      <c r="I44" s="27"/>
      <c r="J44" s="27"/>
      <c r="K44" s="28"/>
      <c r="L44" s="29"/>
      <c r="M44" s="29"/>
    </row>
    <row r="45" spans="1:13" s="1" customFormat="1" ht="15">
      <c r="A45" s="9" t="s">
        <v>88</v>
      </c>
      <c r="B45" s="10" t="s">
        <v>9</v>
      </c>
      <c r="C45" s="15">
        <v>600</v>
      </c>
      <c r="D45" s="15">
        <f>C45</f>
        <v>600</v>
      </c>
      <c r="E45" s="15">
        <v>500</v>
      </c>
      <c r="F45" s="15">
        <v>400</v>
      </c>
      <c r="G45" s="15">
        <v>400</v>
      </c>
      <c r="H45" s="38">
        <v>350</v>
      </c>
      <c r="I45" s="15">
        <v>320</v>
      </c>
      <c r="J45" s="15">
        <v>300</v>
      </c>
      <c r="K45" s="15"/>
      <c r="L45" s="4"/>
      <c r="M45" s="4"/>
    </row>
    <row r="46" spans="1:13" s="1" customFormat="1" ht="30.75">
      <c r="A46" s="9" t="s">
        <v>87</v>
      </c>
      <c r="B46" s="10" t="s">
        <v>9</v>
      </c>
      <c r="C46" s="15">
        <v>750</v>
      </c>
      <c r="D46" s="15">
        <v>730</v>
      </c>
      <c r="E46" s="15">
        <v>670</v>
      </c>
      <c r="F46" s="15">
        <v>580</v>
      </c>
      <c r="G46" s="15">
        <v>500</v>
      </c>
      <c r="H46" s="38">
        <v>430</v>
      </c>
      <c r="I46" s="15">
        <v>375</v>
      </c>
      <c r="J46" s="15">
        <v>360</v>
      </c>
      <c r="K46" s="15" t="s">
        <v>25</v>
      </c>
      <c r="L46" s="4" t="s">
        <v>35</v>
      </c>
      <c r="M46" s="4"/>
    </row>
    <row r="47" spans="1:13" s="1" customFormat="1" ht="45.75">
      <c r="A47" s="9" t="s">
        <v>86</v>
      </c>
      <c r="B47" s="10" t="s">
        <v>9</v>
      </c>
      <c r="C47" s="15">
        <v>850</v>
      </c>
      <c r="D47" s="15">
        <v>850</v>
      </c>
      <c r="E47" s="15">
        <v>780</v>
      </c>
      <c r="F47" s="15">
        <v>680</v>
      </c>
      <c r="G47" s="15">
        <v>580</v>
      </c>
      <c r="H47" s="38">
        <v>500</v>
      </c>
      <c r="I47" s="15">
        <v>440</v>
      </c>
      <c r="J47" s="15">
        <v>420</v>
      </c>
      <c r="K47" s="15" t="s">
        <v>25</v>
      </c>
      <c r="L47" s="4" t="s">
        <v>35</v>
      </c>
      <c r="M47" s="4"/>
    </row>
    <row r="48" spans="1:13" s="1" customFormat="1" ht="30.75">
      <c r="A48" s="9" t="s">
        <v>50</v>
      </c>
      <c r="B48" s="10" t="s">
        <v>9</v>
      </c>
      <c r="C48" s="15">
        <v>780</v>
      </c>
      <c r="D48" s="15">
        <v>770</v>
      </c>
      <c r="E48" s="15">
        <v>710</v>
      </c>
      <c r="F48" s="15">
        <v>620</v>
      </c>
      <c r="G48" s="15">
        <v>540</v>
      </c>
      <c r="H48" s="38">
        <v>470</v>
      </c>
      <c r="I48" s="15">
        <v>420</v>
      </c>
      <c r="J48" s="15">
        <v>400</v>
      </c>
      <c r="K48" s="15" t="s">
        <v>23</v>
      </c>
      <c r="L48" s="4" t="s">
        <v>35</v>
      </c>
      <c r="M48" s="4"/>
    </row>
    <row r="49" spans="1:13" s="1" customFormat="1" ht="45.75">
      <c r="A49" s="9" t="s">
        <v>51</v>
      </c>
      <c r="B49" s="10" t="s">
        <v>9</v>
      </c>
      <c r="C49" s="15">
        <f t="shared" ref="C49:I49" si="9">C47+50</f>
        <v>900</v>
      </c>
      <c r="D49" s="15">
        <f t="shared" si="9"/>
        <v>900</v>
      </c>
      <c r="E49" s="15">
        <f t="shared" si="9"/>
        <v>830</v>
      </c>
      <c r="F49" s="15">
        <f t="shared" si="9"/>
        <v>730</v>
      </c>
      <c r="G49" s="15">
        <f t="shared" si="9"/>
        <v>630</v>
      </c>
      <c r="H49" s="38">
        <f t="shared" si="9"/>
        <v>550</v>
      </c>
      <c r="I49" s="15">
        <f t="shared" si="9"/>
        <v>490</v>
      </c>
      <c r="J49" s="15">
        <f>J47+50</f>
        <v>470</v>
      </c>
      <c r="K49" s="15" t="s">
        <v>23</v>
      </c>
      <c r="L49" s="4" t="s">
        <v>35</v>
      </c>
      <c r="M49" s="4"/>
    </row>
    <row r="50" spans="1:13" s="1" customFormat="1" ht="31.5" customHeight="1">
      <c r="A50" s="9" t="s">
        <v>67</v>
      </c>
      <c r="B50" s="10" t="s">
        <v>9</v>
      </c>
      <c r="C50" s="15">
        <v>700</v>
      </c>
      <c r="D50" s="15">
        <v>700</v>
      </c>
      <c r="E50" s="15">
        <v>600</v>
      </c>
      <c r="F50" s="15">
        <v>500</v>
      </c>
      <c r="G50" s="15">
        <v>400</v>
      </c>
      <c r="H50" s="38">
        <v>360</v>
      </c>
      <c r="I50" s="15">
        <v>320</v>
      </c>
      <c r="J50" s="15">
        <v>320</v>
      </c>
      <c r="K50" s="15" t="s">
        <v>23</v>
      </c>
      <c r="L50" s="4" t="s">
        <v>34</v>
      </c>
      <c r="M50" s="4"/>
    </row>
    <row r="51" spans="1:13" s="1" customFormat="1" ht="15">
      <c r="A51" s="23" t="s">
        <v>100</v>
      </c>
      <c r="B51" s="24" t="s">
        <v>9</v>
      </c>
      <c r="C51" s="25">
        <v>700</v>
      </c>
      <c r="D51" s="25">
        <f>C51</f>
        <v>700</v>
      </c>
      <c r="E51" s="25">
        <f>C51</f>
        <v>700</v>
      </c>
      <c r="F51" s="25">
        <v>600</v>
      </c>
      <c r="G51" s="25">
        <v>600</v>
      </c>
      <c r="H51" s="39">
        <v>500</v>
      </c>
      <c r="I51" s="25">
        <f>H51</f>
        <v>500</v>
      </c>
      <c r="J51" s="25">
        <v>500</v>
      </c>
      <c r="K51" s="15"/>
      <c r="L51" s="4"/>
      <c r="M51" s="4"/>
    </row>
    <row r="52" spans="1:13" s="1" customFormat="1" ht="15">
      <c r="A52" s="23" t="s">
        <v>101</v>
      </c>
      <c r="B52" s="24" t="s">
        <v>9</v>
      </c>
      <c r="C52" s="25">
        <v>270</v>
      </c>
      <c r="D52" s="25">
        <v>250</v>
      </c>
      <c r="E52" s="25">
        <v>220</v>
      </c>
      <c r="F52" s="25">
        <v>200</v>
      </c>
      <c r="G52" s="25">
        <v>200</v>
      </c>
      <c r="H52" s="39">
        <v>180</v>
      </c>
      <c r="I52" s="25">
        <v>170</v>
      </c>
      <c r="J52" s="25">
        <v>160</v>
      </c>
      <c r="K52" s="15"/>
      <c r="L52" s="4"/>
      <c r="M52" s="4"/>
    </row>
    <row r="53" spans="1:13" s="1" customFormat="1" ht="15">
      <c r="A53" s="23" t="s">
        <v>102</v>
      </c>
      <c r="B53" s="24" t="s">
        <v>9</v>
      </c>
      <c r="C53" s="25">
        <v>240</v>
      </c>
      <c r="D53" s="25">
        <f t="shared" ref="D53:G53" si="10">D52-(D52*10%)</f>
        <v>225</v>
      </c>
      <c r="E53" s="25">
        <v>200</v>
      </c>
      <c r="F53" s="25">
        <f t="shared" si="10"/>
        <v>180</v>
      </c>
      <c r="G53" s="25">
        <f t="shared" si="10"/>
        <v>180</v>
      </c>
      <c r="H53" s="39">
        <v>160</v>
      </c>
      <c r="I53" s="25">
        <v>150</v>
      </c>
      <c r="J53" s="25">
        <v>145</v>
      </c>
      <c r="K53" s="15"/>
      <c r="L53" s="4"/>
      <c r="M53" s="4"/>
    </row>
    <row r="54" spans="1:13" s="1" customFormat="1" ht="15">
      <c r="A54" s="7" t="s">
        <v>85</v>
      </c>
      <c r="B54" s="8" t="s">
        <v>4</v>
      </c>
      <c r="C54" s="15">
        <v>800</v>
      </c>
      <c r="D54" s="15">
        <f>C54</f>
        <v>800</v>
      </c>
      <c r="E54" s="15">
        <f>C54</f>
        <v>800</v>
      </c>
      <c r="F54" s="15">
        <v>600</v>
      </c>
      <c r="G54" s="15">
        <f>F54</f>
        <v>600</v>
      </c>
      <c r="H54" s="38">
        <f>F54</f>
        <v>600</v>
      </c>
      <c r="I54" s="15">
        <f>F54</f>
        <v>600</v>
      </c>
      <c r="J54" s="15">
        <v>400</v>
      </c>
      <c r="K54" s="15"/>
      <c r="L54" s="4" t="s">
        <v>35</v>
      </c>
      <c r="M54" s="4"/>
    </row>
    <row r="55" spans="1:13" s="1" customFormat="1" ht="15.75">
      <c r="A55" s="9" t="s">
        <v>122</v>
      </c>
      <c r="B55" s="10" t="s">
        <v>4</v>
      </c>
      <c r="C55" s="15">
        <v>120</v>
      </c>
      <c r="D55" s="15">
        <f>C55</f>
        <v>120</v>
      </c>
      <c r="E55" s="15">
        <f>C55</f>
        <v>120</v>
      </c>
      <c r="F55" s="15">
        <v>80</v>
      </c>
      <c r="G55" s="15">
        <f>F55</f>
        <v>80</v>
      </c>
      <c r="H55" s="38">
        <f>F55</f>
        <v>80</v>
      </c>
      <c r="I55" s="15">
        <v>80</v>
      </c>
      <c r="J55" s="15">
        <v>60</v>
      </c>
      <c r="K55" s="15" t="s">
        <v>25</v>
      </c>
      <c r="L55" s="4"/>
      <c r="M55" s="4"/>
    </row>
    <row r="56" spans="1:13" s="1" customFormat="1" ht="15.75">
      <c r="A56" s="9" t="s">
        <v>123</v>
      </c>
      <c r="B56" s="10" t="s">
        <v>4</v>
      </c>
      <c r="C56" s="15">
        <v>150</v>
      </c>
      <c r="D56" s="15">
        <f>C56</f>
        <v>150</v>
      </c>
      <c r="E56" s="15">
        <f>C56</f>
        <v>150</v>
      </c>
      <c r="F56" s="15">
        <v>100</v>
      </c>
      <c r="G56" s="15">
        <f>F56</f>
        <v>100</v>
      </c>
      <c r="H56" s="38">
        <f>F56</f>
        <v>100</v>
      </c>
      <c r="I56" s="15">
        <v>80</v>
      </c>
      <c r="J56" s="15">
        <f>I56</f>
        <v>80</v>
      </c>
      <c r="K56" s="15" t="s">
        <v>23</v>
      </c>
      <c r="L56" s="4"/>
      <c r="M56" s="4"/>
    </row>
    <row r="57" spans="1:13" s="1" customFormat="1" ht="15.75">
      <c r="A57" s="9" t="s">
        <v>118</v>
      </c>
      <c r="B57" s="10" t="s">
        <v>4</v>
      </c>
      <c r="C57" s="15">
        <v>500</v>
      </c>
      <c r="D57" s="15">
        <f t="shared" ref="D57:D58" si="11">C57</f>
        <v>500</v>
      </c>
      <c r="E57" s="15">
        <f t="shared" ref="E57:E58" si="12">C57</f>
        <v>500</v>
      </c>
      <c r="F57" s="15">
        <f t="shared" ref="F57:F58" si="13">C57</f>
        <v>500</v>
      </c>
      <c r="G57" s="15">
        <f t="shared" ref="G57:G58" si="14">C57</f>
        <v>500</v>
      </c>
      <c r="H57" s="38">
        <f t="shared" ref="H57:H58" si="15">C57</f>
        <v>500</v>
      </c>
      <c r="I57" s="15">
        <f t="shared" ref="I57:I58" si="16">C57</f>
        <v>500</v>
      </c>
      <c r="J57" s="15">
        <f t="shared" ref="J57:J58" si="17">C57</f>
        <v>500</v>
      </c>
      <c r="K57" s="15" t="s">
        <v>25</v>
      </c>
      <c r="L57" s="4"/>
      <c r="M57" s="4"/>
    </row>
    <row r="58" spans="1:13" s="1" customFormat="1" ht="15.75">
      <c r="A58" s="9" t="s">
        <v>119</v>
      </c>
      <c r="B58" s="10" t="s">
        <v>4</v>
      </c>
      <c r="C58" s="15">
        <v>800</v>
      </c>
      <c r="D58" s="15">
        <f t="shared" si="11"/>
        <v>800</v>
      </c>
      <c r="E58" s="15">
        <f t="shared" si="12"/>
        <v>800</v>
      </c>
      <c r="F58" s="15">
        <f t="shared" si="13"/>
        <v>800</v>
      </c>
      <c r="G58" s="15">
        <f t="shared" si="14"/>
        <v>800</v>
      </c>
      <c r="H58" s="38">
        <f t="shared" si="15"/>
        <v>800</v>
      </c>
      <c r="I58" s="15">
        <f t="shared" si="16"/>
        <v>800</v>
      </c>
      <c r="J58" s="15">
        <f t="shared" si="17"/>
        <v>800</v>
      </c>
      <c r="K58" s="15" t="s">
        <v>23</v>
      </c>
      <c r="L58" s="4"/>
      <c r="M58" s="4"/>
    </row>
    <row r="59" spans="1:13" s="1" customFormat="1" ht="15.75">
      <c r="A59" s="9" t="s">
        <v>120</v>
      </c>
      <c r="B59" s="10" t="s">
        <v>2</v>
      </c>
      <c r="C59" s="15">
        <v>3500</v>
      </c>
      <c r="D59" s="15">
        <f>C59</f>
        <v>3500</v>
      </c>
      <c r="E59" s="15">
        <f>C59</f>
        <v>3500</v>
      </c>
      <c r="F59" s="15">
        <v>2800</v>
      </c>
      <c r="G59" s="15">
        <f>F59</f>
        <v>2800</v>
      </c>
      <c r="H59" s="38">
        <f>F59</f>
        <v>2800</v>
      </c>
      <c r="I59" s="15">
        <f>F59</f>
        <v>2800</v>
      </c>
      <c r="J59" s="15">
        <f>F59</f>
        <v>2800</v>
      </c>
      <c r="K59" s="15"/>
      <c r="L59" s="4" t="s">
        <v>35</v>
      </c>
      <c r="M59" s="4"/>
    </row>
    <row r="60" spans="1:13" s="1" customFormat="1" ht="15.75">
      <c r="A60" s="9" t="s">
        <v>121</v>
      </c>
      <c r="B60" s="10" t="s">
        <v>2</v>
      </c>
      <c r="C60" s="15">
        <f>C59+(C59*20%)</f>
        <v>4200</v>
      </c>
      <c r="D60" s="15">
        <f t="shared" ref="D60:J60" si="18">D59+(D59*20%)</f>
        <v>4200</v>
      </c>
      <c r="E60" s="15">
        <f t="shared" si="18"/>
        <v>4200</v>
      </c>
      <c r="F60" s="15">
        <f t="shared" si="18"/>
        <v>3360</v>
      </c>
      <c r="G60" s="15">
        <f t="shared" si="18"/>
        <v>3360</v>
      </c>
      <c r="H60" s="38">
        <f t="shared" si="18"/>
        <v>3360</v>
      </c>
      <c r="I60" s="15">
        <f t="shared" si="18"/>
        <v>3360</v>
      </c>
      <c r="J60" s="15">
        <f t="shared" si="18"/>
        <v>3360</v>
      </c>
      <c r="K60" s="15"/>
      <c r="L60" s="4" t="s">
        <v>34</v>
      </c>
      <c r="M60" s="4"/>
    </row>
    <row r="61" spans="1:13" s="30" customFormat="1" ht="23.25">
      <c r="A61" s="31" t="s">
        <v>110</v>
      </c>
      <c r="B61" s="26"/>
      <c r="C61" s="27"/>
      <c r="D61" s="27"/>
      <c r="E61" s="27"/>
      <c r="F61" s="27"/>
      <c r="G61" s="27"/>
      <c r="H61" s="37"/>
      <c r="I61" s="27"/>
      <c r="J61" s="27"/>
      <c r="K61" s="28"/>
      <c r="L61" s="29"/>
      <c r="M61" s="29"/>
    </row>
    <row r="62" spans="1:13" s="1" customFormat="1" ht="30">
      <c r="A62" s="9" t="s">
        <v>84</v>
      </c>
      <c r="B62" s="10" t="s">
        <v>2</v>
      </c>
      <c r="C62" s="15">
        <f>C67+400</f>
        <v>3900</v>
      </c>
      <c r="D62" s="15">
        <f t="shared" ref="D62:J62" si="19">D67+400</f>
        <v>3900</v>
      </c>
      <c r="E62" s="15">
        <f t="shared" si="19"/>
        <v>3900</v>
      </c>
      <c r="F62" s="15">
        <f t="shared" si="19"/>
        <v>3400</v>
      </c>
      <c r="G62" s="15">
        <f t="shared" si="19"/>
        <v>3400</v>
      </c>
      <c r="H62" s="38">
        <f t="shared" si="19"/>
        <v>3400</v>
      </c>
      <c r="I62" s="15">
        <f t="shared" si="19"/>
        <v>3200</v>
      </c>
      <c r="J62" s="15">
        <f t="shared" si="19"/>
        <v>2800</v>
      </c>
      <c r="K62" s="15"/>
      <c r="L62" s="4" t="s">
        <v>35</v>
      </c>
      <c r="M62" s="4"/>
    </row>
    <row r="63" spans="1:13" s="1" customFormat="1" ht="30">
      <c r="A63" s="9" t="s">
        <v>40</v>
      </c>
      <c r="B63" s="10" t="s">
        <v>2</v>
      </c>
      <c r="C63" s="15">
        <v>4500</v>
      </c>
      <c r="D63" s="15">
        <f>C63</f>
        <v>4500</v>
      </c>
      <c r="E63" s="15">
        <f>C63</f>
        <v>4500</v>
      </c>
      <c r="F63" s="15">
        <v>3600</v>
      </c>
      <c r="G63" s="15">
        <f>F63</f>
        <v>3600</v>
      </c>
      <c r="H63" s="38">
        <f>F63</f>
        <v>3600</v>
      </c>
      <c r="I63" s="15">
        <f>F63</f>
        <v>3600</v>
      </c>
      <c r="J63" s="15">
        <f>F63</f>
        <v>3600</v>
      </c>
      <c r="K63" s="15"/>
      <c r="L63" s="4" t="s">
        <v>35</v>
      </c>
      <c r="M63" s="4"/>
    </row>
    <row r="64" spans="1:13" s="1" customFormat="1" ht="15">
      <c r="A64" s="9" t="s">
        <v>41</v>
      </c>
      <c r="B64" s="10" t="s">
        <v>2</v>
      </c>
      <c r="C64" s="15">
        <v>3000</v>
      </c>
      <c r="D64" s="15">
        <f>C64</f>
        <v>3000</v>
      </c>
      <c r="E64" s="15">
        <f>D64</f>
        <v>3000</v>
      </c>
      <c r="F64" s="15">
        <v>2600</v>
      </c>
      <c r="G64" s="15">
        <f>F64</f>
        <v>2600</v>
      </c>
      <c r="H64" s="38">
        <f>F64</f>
        <v>2600</v>
      </c>
      <c r="I64" s="15">
        <v>2400</v>
      </c>
      <c r="J64" s="15">
        <v>2000</v>
      </c>
      <c r="K64" s="15"/>
      <c r="L64" s="4" t="s">
        <v>35</v>
      </c>
      <c r="M64" s="4"/>
    </row>
    <row r="65" spans="1:13" s="1" customFormat="1" ht="15">
      <c r="A65" s="9" t="s">
        <v>44</v>
      </c>
      <c r="B65" s="10" t="s">
        <v>2</v>
      </c>
      <c r="C65" s="15">
        <v>3000</v>
      </c>
      <c r="D65" s="15">
        <f>C65</f>
        <v>3000</v>
      </c>
      <c r="E65" s="15">
        <f>D65</f>
        <v>3000</v>
      </c>
      <c r="F65" s="15">
        <v>2600</v>
      </c>
      <c r="G65" s="15">
        <f>F65</f>
        <v>2600</v>
      </c>
      <c r="H65" s="38">
        <f>F65</f>
        <v>2600</v>
      </c>
      <c r="I65" s="15">
        <v>2400</v>
      </c>
      <c r="J65" s="15">
        <v>2000</v>
      </c>
      <c r="K65" s="15"/>
      <c r="L65" s="4" t="s">
        <v>35</v>
      </c>
      <c r="M65" s="4"/>
    </row>
    <row r="66" spans="1:13" s="1" customFormat="1" ht="15">
      <c r="A66" s="9" t="s">
        <v>45</v>
      </c>
      <c r="B66" s="10" t="s">
        <v>2</v>
      </c>
      <c r="C66" s="15">
        <v>3200</v>
      </c>
      <c r="D66" s="15">
        <f>C66</f>
        <v>3200</v>
      </c>
      <c r="E66" s="15">
        <f>D66</f>
        <v>3200</v>
      </c>
      <c r="F66" s="15">
        <v>2800</v>
      </c>
      <c r="G66" s="15">
        <f>F66</f>
        <v>2800</v>
      </c>
      <c r="H66" s="38">
        <f>F66</f>
        <v>2800</v>
      </c>
      <c r="I66" s="15">
        <v>2600</v>
      </c>
      <c r="J66" s="15">
        <v>2200</v>
      </c>
      <c r="K66" s="15"/>
      <c r="L66" s="4" t="s">
        <v>35</v>
      </c>
      <c r="M66" s="4"/>
    </row>
    <row r="67" spans="1:13" s="1" customFormat="1" ht="15">
      <c r="A67" s="9" t="s">
        <v>46</v>
      </c>
      <c r="B67" s="10" t="s">
        <v>2</v>
      </c>
      <c r="C67" s="15">
        <v>3500</v>
      </c>
      <c r="D67" s="15">
        <f>C67</f>
        <v>3500</v>
      </c>
      <c r="E67" s="15">
        <f>D67</f>
        <v>3500</v>
      </c>
      <c r="F67" s="15">
        <v>3000</v>
      </c>
      <c r="G67" s="15">
        <f>F67</f>
        <v>3000</v>
      </c>
      <c r="H67" s="38">
        <f>F67</f>
        <v>3000</v>
      </c>
      <c r="I67" s="15">
        <v>2800</v>
      </c>
      <c r="J67" s="15">
        <v>2400</v>
      </c>
      <c r="K67" s="15"/>
      <c r="L67" s="4" t="s">
        <v>35</v>
      </c>
      <c r="M67" s="4"/>
    </row>
    <row r="68" spans="1:13" s="1" customFormat="1" ht="30">
      <c r="A68" s="9" t="s">
        <v>83</v>
      </c>
      <c r="B68" s="10" t="s">
        <v>2</v>
      </c>
      <c r="C68" s="15">
        <v>600</v>
      </c>
      <c r="D68" s="15">
        <v>500</v>
      </c>
      <c r="E68" s="15">
        <f>D68</f>
        <v>500</v>
      </c>
      <c r="F68" s="15">
        <f>D68</f>
        <v>500</v>
      </c>
      <c r="G68" s="15">
        <f>D68</f>
        <v>500</v>
      </c>
      <c r="H68" s="38">
        <f>D68</f>
        <v>500</v>
      </c>
      <c r="I68" s="15">
        <f>D68</f>
        <v>500</v>
      </c>
      <c r="J68" s="15">
        <v>400</v>
      </c>
      <c r="K68" s="15"/>
      <c r="L68" s="4"/>
      <c r="M68" s="4"/>
    </row>
    <row r="69" spans="1:13" s="1" customFormat="1" ht="15">
      <c r="A69" s="9" t="s">
        <v>42</v>
      </c>
      <c r="B69" s="10" t="s">
        <v>2</v>
      </c>
      <c r="C69" s="15">
        <v>3000</v>
      </c>
      <c r="D69" s="15">
        <f>C69</f>
        <v>3000</v>
      </c>
      <c r="E69" s="15">
        <f>C69</f>
        <v>3000</v>
      </c>
      <c r="F69" s="15">
        <v>2000</v>
      </c>
      <c r="G69" s="15">
        <f>C69</f>
        <v>3000</v>
      </c>
      <c r="H69" s="38">
        <f>C69</f>
        <v>3000</v>
      </c>
      <c r="I69" s="15">
        <f>C69</f>
        <v>3000</v>
      </c>
      <c r="J69" s="15">
        <f>C69</f>
        <v>3000</v>
      </c>
      <c r="K69" s="15"/>
      <c r="L69" s="4" t="s">
        <v>35</v>
      </c>
      <c r="M69" s="4"/>
    </row>
    <row r="70" spans="1:13" s="1" customFormat="1" ht="36.75" customHeight="1">
      <c r="A70" s="9" t="s">
        <v>82</v>
      </c>
      <c r="B70" s="10" t="s">
        <v>9</v>
      </c>
      <c r="C70" s="15">
        <v>1000</v>
      </c>
      <c r="D70" s="15">
        <v>580</v>
      </c>
      <c r="E70" s="15">
        <f>C70</f>
        <v>1000</v>
      </c>
      <c r="F70" s="15">
        <f>C70</f>
        <v>1000</v>
      </c>
      <c r="G70" s="15">
        <f>C70</f>
        <v>1000</v>
      </c>
      <c r="H70" s="38">
        <f>C70</f>
        <v>1000</v>
      </c>
      <c r="I70" s="15">
        <v>300</v>
      </c>
      <c r="J70" s="15">
        <f>I70</f>
        <v>300</v>
      </c>
      <c r="K70" s="15"/>
      <c r="L70" s="4" t="s">
        <v>35</v>
      </c>
      <c r="M70" s="4"/>
    </row>
    <row r="71" spans="1:13" s="1" customFormat="1" ht="32.25" customHeight="1">
      <c r="A71" s="9" t="s">
        <v>95</v>
      </c>
      <c r="B71" s="10" t="s">
        <v>9</v>
      </c>
      <c r="C71" s="15">
        <f t="shared" ref="C71:J71" si="20">C50</f>
        <v>700</v>
      </c>
      <c r="D71" s="15">
        <f t="shared" si="20"/>
        <v>700</v>
      </c>
      <c r="E71" s="15">
        <f t="shared" si="20"/>
        <v>600</v>
      </c>
      <c r="F71" s="15">
        <f t="shared" si="20"/>
        <v>500</v>
      </c>
      <c r="G71" s="15">
        <f t="shared" si="20"/>
        <v>400</v>
      </c>
      <c r="H71" s="38">
        <f t="shared" si="20"/>
        <v>360</v>
      </c>
      <c r="I71" s="15">
        <f t="shared" si="20"/>
        <v>320</v>
      </c>
      <c r="J71" s="15">
        <f t="shared" si="20"/>
        <v>320</v>
      </c>
      <c r="K71" s="15"/>
      <c r="L71" s="4" t="s">
        <v>34</v>
      </c>
      <c r="M71" s="4"/>
    </row>
    <row r="72" spans="1:13" s="30" customFormat="1" ht="23.25">
      <c r="A72" s="31" t="s">
        <v>111</v>
      </c>
      <c r="B72" s="26"/>
      <c r="C72" s="27"/>
      <c r="D72" s="27"/>
      <c r="E72" s="27"/>
      <c r="F72" s="27"/>
      <c r="G72" s="27"/>
      <c r="H72" s="37"/>
      <c r="I72" s="27"/>
      <c r="J72" s="27"/>
      <c r="K72" s="28"/>
      <c r="L72" s="29"/>
      <c r="M72" s="29"/>
    </row>
    <row r="73" spans="1:13" s="1" customFormat="1" ht="15">
      <c r="A73" s="9" t="s">
        <v>43</v>
      </c>
      <c r="B73" s="10" t="s">
        <v>4</v>
      </c>
      <c r="C73" s="15">
        <v>500</v>
      </c>
      <c r="D73" s="15">
        <f>C73</f>
        <v>500</v>
      </c>
      <c r="E73" s="15">
        <f>C73</f>
        <v>500</v>
      </c>
      <c r="F73" s="15">
        <f>C73</f>
        <v>500</v>
      </c>
      <c r="G73" s="15">
        <f>C73</f>
        <v>500</v>
      </c>
      <c r="H73" s="38">
        <f>C73</f>
        <v>500</v>
      </c>
      <c r="I73" s="15">
        <v>300</v>
      </c>
      <c r="J73" s="15">
        <f>I73</f>
        <v>300</v>
      </c>
      <c r="K73" s="15"/>
      <c r="L73" s="4" t="s">
        <v>35</v>
      </c>
      <c r="M73" s="4"/>
    </row>
    <row r="74" spans="1:13" s="1" customFormat="1" ht="30">
      <c r="A74" s="9" t="s">
        <v>68</v>
      </c>
      <c r="B74" s="10" t="s">
        <v>4</v>
      </c>
      <c r="C74" s="15">
        <v>1000</v>
      </c>
      <c r="D74" s="15">
        <v>1000</v>
      </c>
      <c r="E74" s="15">
        <v>1000</v>
      </c>
      <c r="F74" s="15">
        <v>1000</v>
      </c>
      <c r="G74" s="15">
        <v>1000</v>
      </c>
      <c r="H74" s="38">
        <v>1000</v>
      </c>
      <c r="I74" s="15">
        <v>1000</v>
      </c>
      <c r="J74" s="15">
        <v>1000</v>
      </c>
      <c r="K74" s="15"/>
      <c r="L74" s="4"/>
      <c r="M74" s="4"/>
    </row>
    <row r="75" spans="1:13" s="1" customFormat="1" ht="30">
      <c r="A75" s="9" t="s">
        <v>8</v>
      </c>
      <c r="B75" s="10" t="s">
        <v>1</v>
      </c>
      <c r="C75" s="15">
        <v>400</v>
      </c>
      <c r="D75" s="15">
        <f t="shared" ref="D75:D84" si="21">C75</f>
        <v>400</v>
      </c>
      <c r="E75" s="15">
        <f t="shared" ref="E75:E84" si="22">C75</f>
        <v>400</v>
      </c>
      <c r="F75" s="15">
        <f t="shared" ref="F75:F84" si="23">C75</f>
        <v>400</v>
      </c>
      <c r="G75" s="15">
        <f t="shared" ref="G75:G84" si="24">C75</f>
        <v>400</v>
      </c>
      <c r="H75" s="38">
        <f t="shared" ref="H75:H84" si="25">C75</f>
        <v>400</v>
      </c>
      <c r="I75" s="15">
        <f t="shared" ref="I75:I84" si="26">C75</f>
        <v>400</v>
      </c>
      <c r="J75" s="15">
        <f t="shared" ref="J75:J84" si="27">C75</f>
        <v>400</v>
      </c>
      <c r="K75" s="15"/>
      <c r="L75" s="4" t="s">
        <v>35</v>
      </c>
      <c r="M75" s="4"/>
    </row>
    <row r="76" spans="1:13" s="1" customFormat="1" ht="15.75">
      <c r="A76" s="9" t="s">
        <v>112</v>
      </c>
      <c r="B76" s="10" t="s">
        <v>2</v>
      </c>
      <c r="C76" s="15">
        <v>1600</v>
      </c>
      <c r="D76" s="15">
        <f t="shared" si="21"/>
        <v>1600</v>
      </c>
      <c r="E76" s="15">
        <f t="shared" si="22"/>
        <v>1600</v>
      </c>
      <c r="F76" s="15">
        <f t="shared" si="23"/>
        <v>1600</v>
      </c>
      <c r="G76" s="15">
        <f t="shared" si="24"/>
        <v>1600</v>
      </c>
      <c r="H76" s="38">
        <f t="shared" si="25"/>
        <v>1600</v>
      </c>
      <c r="I76" s="15">
        <f t="shared" si="26"/>
        <v>1600</v>
      </c>
      <c r="J76" s="15">
        <f t="shared" si="27"/>
        <v>1600</v>
      </c>
      <c r="K76" s="15"/>
      <c r="L76" s="4"/>
      <c r="M76" s="4"/>
    </row>
    <row r="77" spans="1:13" s="1" customFormat="1" ht="30">
      <c r="A77" s="9" t="s">
        <v>36</v>
      </c>
      <c r="B77" s="10" t="s">
        <v>2</v>
      </c>
      <c r="C77" s="15">
        <v>2200</v>
      </c>
      <c r="D77" s="15">
        <f t="shared" si="21"/>
        <v>2200</v>
      </c>
      <c r="E77" s="15">
        <f t="shared" si="22"/>
        <v>2200</v>
      </c>
      <c r="F77" s="15">
        <f t="shared" si="23"/>
        <v>2200</v>
      </c>
      <c r="G77" s="15">
        <f t="shared" si="24"/>
        <v>2200</v>
      </c>
      <c r="H77" s="38">
        <f t="shared" si="25"/>
        <v>2200</v>
      </c>
      <c r="I77" s="15">
        <f t="shared" si="26"/>
        <v>2200</v>
      </c>
      <c r="J77" s="15">
        <f t="shared" si="27"/>
        <v>2200</v>
      </c>
      <c r="K77" s="15"/>
      <c r="L77" s="4" t="s">
        <v>35</v>
      </c>
      <c r="M77" s="4"/>
    </row>
    <row r="78" spans="1:13" s="1" customFormat="1" ht="15">
      <c r="A78" s="9" t="s">
        <v>37</v>
      </c>
      <c r="B78" s="10" t="s">
        <v>2</v>
      </c>
      <c r="C78" s="15">
        <v>700</v>
      </c>
      <c r="D78" s="15">
        <f t="shared" si="21"/>
        <v>700</v>
      </c>
      <c r="E78" s="15">
        <f t="shared" si="22"/>
        <v>700</v>
      </c>
      <c r="F78" s="15">
        <f t="shared" si="23"/>
        <v>700</v>
      </c>
      <c r="G78" s="15">
        <f t="shared" si="24"/>
        <v>700</v>
      </c>
      <c r="H78" s="38">
        <f t="shared" si="25"/>
        <v>700</v>
      </c>
      <c r="I78" s="15">
        <f t="shared" si="26"/>
        <v>700</v>
      </c>
      <c r="J78" s="15">
        <f t="shared" si="27"/>
        <v>700</v>
      </c>
      <c r="K78" s="15" t="s">
        <v>25</v>
      </c>
      <c r="L78" s="4"/>
      <c r="M78" s="4"/>
    </row>
    <row r="79" spans="1:13" s="1" customFormat="1" ht="15">
      <c r="A79" s="9" t="s">
        <v>81</v>
      </c>
      <c r="B79" s="10" t="s">
        <v>2</v>
      </c>
      <c r="C79" s="15">
        <v>2000</v>
      </c>
      <c r="D79" s="15">
        <f t="shared" si="21"/>
        <v>2000</v>
      </c>
      <c r="E79" s="15">
        <f t="shared" si="22"/>
        <v>2000</v>
      </c>
      <c r="F79" s="15">
        <f t="shared" si="23"/>
        <v>2000</v>
      </c>
      <c r="G79" s="15">
        <f t="shared" si="24"/>
        <v>2000</v>
      </c>
      <c r="H79" s="38">
        <f t="shared" si="25"/>
        <v>2000</v>
      </c>
      <c r="I79" s="15">
        <f t="shared" si="26"/>
        <v>2000</v>
      </c>
      <c r="J79" s="15">
        <f t="shared" si="27"/>
        <v>2000</v>
      </c>
      <c r="K79" s="15" t="s">
        <v>23</v>
      </c>
      <c r="L79" s="4"/>
      <c r="M79" s="4"/>
    </row>
    <row r="80" spans="1:13" s="1" customFormat="1" ht="15.75">
      <c r="A80" s="9" t="s">
        <v>113</v>
      </c>
      <c r="B80" s="10" t="s">
        <v>2</v>
      </c>
      <c r="C80" s="15">
        <v>2000</v>
      </c>
      <c r="D80" s="15">
        <f t="shared" si="21"/>
        <v>2000</v>
      </c>
      <c r="E80" s="15">
        <f t="shared" si="22"/>
        <v>2000</v>
      </c>
      <c r="F80" s="15">
        <f t="shared" si="23"/>
        <v>2000</v>
      </c>
      <c r="G80" s="15">
        <f t="shared" si="24"/>
        <v>2000</v>
      </c>
      <c r="H80" s="38">
        <f t="shared" si="25"/>
        <v>2000</v>
      </c>
      <c r="I80" s="15">
        <f t="shared" si="26"/>
        <v>2000</v>
      </c>
      <c r="J80" s="15">
        <f t="shared" si="27"/>
        <v>2000</v>
      </c>
      <c r="K80" s="15"/>
      <c r="L80" s="4"/>
      <c r="M80" s="4"/>
    </row>
    <row r="81" spans="1:13" ht="15.75">
      <c r="A81" s="9" t="s">
        <v>114</v>
      </c>
      <c r="B81" s="10" t="s">
        <v>2</v>
      </c>
      <c r="C81" s="15">
        <v>4000</v>
      </c>
      <c r="D81" s="15">
        <f t="shared" si="21"/>
        <v>4000</v>
      </c>
      <c r="E81" s="15">
        <f t="shared" si="22"/>
        <v>4000</v>
      </c>
      <c r="F81" s="15">
        <f t="shared" si="23"/>
        <v>4000</v>
      </c>
      <c r="G81" s="15">
        <f t="shared" si="24"/>
        <v>4000</v>
      </c>
      <c r="H81" s="38">
        <f t="shared" si="25"/>
        <v>4000</v>
      </c>
      <c r="I81" s="15">
        <f t="shared" si="26"/>
        <v>4000</v>
      </c>
      <c r="J81" s="15">
        <f t="shared" si="27"/>
        <v>4000</v>
      </c>
      <c r="K81" s="15"/>
      <c r="L81" s="4"/>
      <c r="M81" s="4"/>
    </row>
    <row r="82" spans="1:13" ht="15.75">
      <c r="A82" s="9" t="s">
        <v>115</v>
      </c>
      <c r="B82" s="10" t="s">
        <v>2</v>
      </c>
      <c r="C82" s="15">
        <v>2800</v>
      </c>
      <c r="D82" s="15">
        <f t="shared" si="21"/>
        <v>2800</v>
      </c>
      <c r="E82" s="15">
        <f t="shared" si="22"/>
        <v>2800</v>
      </c>
      <c r="F82" s="15">
        <f t="shared" si="23"/>
        <v>2800</v>
      </c>
      <c r="G82" s="15">
        <f t="shared" si="24"/>
        <v>2800</v>
      </c>
      <c r="H82" s="38">
        <f t="shared" si="25"/>
        <v>2800</v>
      </c>
      <c r="I82" s="15">
        <f t="shared" si="26"/>
        <v>2800</v>
      </c>
      <c r="J82" s="15">
        <f t="shared" si="27"/>
        <v>2800</v>
      </c>
      <c r="K82" s="15"/>
      <c r="L82" s="4"/>
      <c r="M82" s="4"/>
    </row>
    <row r="83" spans="1:13" ht="15.75">
      <c r="A83" s="9" t="s">
        <v>116</v>
      </c>
      <c r="B83" s="10" t="s">
        <v>9</v>
      </c>
      <c r="C83" s="15">
        <v>450</v>
      </c>
      <c r="D83" s="15">
        <f t="shared" si="21"/>
        <v>450</v>
      </c>
      <c r="E83" s="15">
        <f t="shared" si="22"/>
        <v>450</v>
      </c>
      <c r="F83" s="15">
        <f t="shared" si="23"/>
        <v>450</v>
      </c>
      <c r="G83" s="15">
        <f t="shared" si="24"/>
        <v>450</v>
      </c>
      <c r="H83" s="38">
        <f t="shared" si="25"/>
        <v>450</v>
      </c>
      <c r="I83" s="15">
        <f t="shared" si="26"/>
        <v>450</v>
      </c>
      <c r="J83" s="15">
        <f t="shared" si="27"/>
        <v>450</v>
      </c>
      <c r="K83" s="15"/>
      <c r="L83" s="4" t="s">
        <v>35</v>
      </c>
      <c r="M83" s="4"/>
    </row>
    <row r="84" spans="1:13" ht="15">
      <c r="A84" s="9" t="s">
        <v>38</v>
      </c>
      <c r="B84" s="10" t="s">
        <v>9</v>
      </c>
      <c r="C84" s="15">
        <v>450</v>
      </c>
      <c r="D84" s="15">
        <f t="shared" si="21"/>
        <v>450</v>
      </c>
      <c r="E84" s="15">
        <f t="shared" si="22"/>
        <v>450</v>
      </c>
      <c r="F84" s="15">
        <f t="shared" si="23"/>
        <v>450</v>
      </c>
      <c r="G84" s="15">
        <f t="shared" si="24"/>
        <v>450</v>
      </c>
      <c r="H84" s="38">
        <f t="shared" si="25"/>
        <v>450</v>
      </c>
      <c r="I84" s="15">
        <f t="shared" si="26"/>
        <v>450</v>
      </c>
      <c r="J84" s="15">
        <f t="shared" si="27"/>
        <v>450</v>
      </c>
      <c r="K84" s="15"/>
      <c r="L84" s="4" t="s">
        <v>35</v>
      </c>
      <c r="M84" s="4"/>
    </row>
    <row r="85" spans="1:13" ht="30">
      <c r="A85" s="9" t="s">
        <v>54</v>
      </c>
      <c r="B85" s="10" t="s">
        <v>55</v>
      </c>
      <c r="C85" s="15">
        <v>150000</v>
      </c>
      <c r="D85" s="15"/>
      <c r="E85" s="15"/>
      <c r="F85" s="15"/>
      <c r="G85" s="15"/>
      <c r="H85" s="38"/>
      <c r="I85" s="15"/>
      <c r="J85" s="15"/>
      <c r="K85" s="15"/>
      <c r="L85" s="4"/>
      <c r="M85" s="4" t="s">
        <v>61</v>
      </c>
    </row>
    <row r="86" spans="1:13" ht="39.75" customHeight="1">
      <c r="A86" s="9" t="s">
        <v>56</v>
      </c>
      <c r="B86" s="10" t="s">
        <v>1</v>
      </c>
      <c r="C86" s="15"/>
      <c r="D86" s="15"/>
      <c r="E86" s="15"/>
      <c r="F86" s="15"/>
      <c r="G86" s="15"/>
      <c r="H86" s="38">
        <v>900</v>
      </c>
      <c r="I86" s="15"/>
      <c r="J86" s="15"/>
      <c r="K86" s="15"/>
      <c r="L86" s="10"/>
      <c r="M86" s="4" t="s">
        <v>61</v>
      </c>
    </row>
    <row r="87" spans="1:13" ht="15">
      <c r="A87" s="9" t="s">
        <v>57</v>
      </c>
      <c r="B87" s="10" t="s">
        <v>9</v>
      </c>
      <c r="C87" s="15"/>
      <c r="D87" s="15"/>
      <c r="E87" s="15"/>
      <c r="F87" s="15"/>
      <c r="G87" s="15"/>
      <c r="H87" s="38">
        <v>100</v>
      </c>
      <c r="I87" s="15"/>
      <c r="J87" s="15"/>
      <c r="K87" s="15"/>
      <c r="L87" s="10"/>
      <c r="M87" s="4" t="s">
        <v>61</v>
      </c>
    </row>
    <row r="88" spans="1:13" ht="15">
      <c r="A88" s="9" t="s">
        <v>58</v>
      </c>
      <c r="B88" s="10" t="s">
        <v>9</v>
      </c>
      <c r="C88" s="15"/>
      <c r="D88" s="15"/>
      <c r="E88" s="15"/>
      <c r="F88" s="15"/>
      <c r="G88" s="15"/>
      <c r="H88" s="38">
        <v>400</v>
      </c>
      <c r="I88" s="15"/>
      <c r="J88" s="15"/>
      <c r="K88" s="15"/>
      <c r="L88" s="10"/>
      <c r="M88" s="4" t="s">
        <v>61</v>
      </c>
    </row>
    <row r="89" spans="1:13" ht="15">
      <c r="A89" s="9" t="s">
        <v>59</v>
      </c>
      <c r="B89" s="10" t="s">
        <v>9</v>
      </c>
      <c r="C89" s="15"/>
      <c r="D89" s="15"/>
      <c r="E89" s="15"/>
      <c r="F89" s="15"/>
      <c r="G89" s="15"/>
      <c r="H89" s="38">
        <v>500</v>
      </c>
      <c r="I89" s="15"/>
      <c r="J89" s="15"/>
      <c r="K89" s="15"/>
      <c r="L89" s="10"/>
      <c r="M89" s="4" t="s">
        <v>61</v>
      </c>
    </row>
    <row r="90" spans="1:13" ht="18" customHeight="1">
      <c r="A90" s="9" t="s">
        <v>60</v>
      </c>
      <c r="B90" s="10" t="s">
        <v>9</v>
      </c>
      <c r="C90" s="15"/>
      <c r="D90" s="15"/>
      <c r="E90" s="15"/>
      <c r="F90" s="15"/>
      <c r="G90" s="15"/>
      <c r="H90" s="38">
        <v>200</v>
      </c>
      <c r="I90" s="15"/>
      <c r="J90" s="15"/>
      <c r="K90" s="15"/>
      <c r="L90" s="10"/>
      <c r="M90" s="4" t="s">
        <v>61</v>
      </c>
    </row>
    <row r="91" spans="1:13" ht="15">
      <c r="A91" s="9" t="s">
        <v>62</v>
      </c>
      <c r="B91" s="10" t="s">
        <v>2</v>
      </c>
      <c r="C91" s="15"/>
      <c r="D91" s="15"/>
      <c r="E91" s="15"/>
      <c r="F91" s="15"/>
      <c r="G91" s="15"/>
      <c r="H91" s="38">
        <v>10000</v>
      </c>
      <c r="I91" s="15"/>
      <c r="J91" s="15"/>
      <c r="K91" s="15"/>
      <c r="L91" s="10"/>
      <c r="M91" s="4" t="s">
        <v>61</v>
      </c>
    </row>
    <row r="92" spans="1:13" ht="15">
      <c r="A92" s="14" t="s">
        <v>63</v>
      </c>
      <c r="B92" s="10" t="s">
        <v>2</v>
      </c>
      <c r="C92" s="15"/>
      <c r="D92" s="15"/>
      <c r="E92" s="15"/>
      <c r="F92" s="15"/>
      <c r="G92" s="15"/>
      <c r="H92" s="38">
        <v>15000</v>
      </c>
      <c r="I92" s="15"/>
      <c r="J92" s="15"/>
      <c r="K92" s="15"/>
      <c r="L92" s="10"/>
      <c r="M92" s="4" t="s">
        <v>61</v>
      </c>
    </row>
    <row r="93" spans="1:13" ht="15">
      <c r="A93" s="9" t="s">
        <v>64</v>
      </c>
      <c r="B93" s="10" t="s">
        <v>9</v>
      </c>
      <c r="C93" s="15">
        <v>600</v>
      </c>
      <c r="D93" s="15"/>
      <c r="E93" s="15"/>
      <c r="F93" s="15"/>
      <c r="G93" s="15"/>
      <c r="H93" s="38">
        <v>2000</v>
      </c>
      <c r="I93" s="15"/>
      <c r="J93" s="15"/>
      <c r="K93" s="15"/>
      <c r="L93" s="10"/>
      <c r="M93" s="4" t="s">
        <v>61</v>
      </c>
    </row>
    <row r="94" spans="1:13" ht="15">
      <c r="A94" s="9" t="s">
        <v>80</v>
      </c>
      <c r="B94" s="10" t="s">
        <v>9</v>
      </c>
      <c r="C94" s="15">
        <v>600</v>
      </c>
      <c r="D94" s="15">
        <f>C94</f>
        <v>600</v>
      </c>
      <c r="E94" s="15">
        <f>C94</f>
        <v>600</v>
      </c>
      <c r="F94" s="15">
        <f>C94</f>
        <v>600</v>
      </c>
      <c r="G94" s="15">
        <f>C94</f>
        <v>600</v>
      </c>
      <c r="H94" s="38">
        <f>C94</f>
        <v>600</v>
      </c>
      <c r="I94" s="15">
        <f>C94</f>
        <v>600</v>
      </c>
      <c r="J94" s="15">
        <f>C94</f>
        <v>600</v>
      </c>
      <c r="K94" s="15"/>
      <c r="L94" s="10"/>
      <c r="M94" s="4"/>
    </row>
    <row r="95" spans="1:13" ht="15">
      <c r="A95" s="9" t="s">
        <v>77</v>
      </c>
      <c r="B95" s="10"/>
      <c r="C95" s="15">
        <v>35000</v>
      </c>
      <c r="D95" s="15">
        <v>45000</v>
      </c>
      <c r="E95" s="15">
        <v>90000</v>
      </c>
      <c r="F95" s="15">
        <v>180000</v>
      </c>
      <c r="G95" s="15">
        <v>260000</v>
      </c>
      <c r="H95" s="38">
        <v>280000</v>
      </c>
      <c r="I95" s="15">
        <v>360000</v>
      </c>
      <c r="J95" s="15" t="s">
        <v>79</v>
      </c>
      <c r="K95" s="15"/>
      <c r="L95" s="10"/>
      <c r="M95" s="4"/>
    </row>
    <row r="96" spans="1:13" ht="15">
      <c r="A96" s="9" t="s">
        <v>76</v>
      </c>
      <c r="B96" s="10"/>
      <c r="C96" s="15">
        <v>20000</v>
      </c>
      <c r="D96" s="15">
        <v>25000</v>
      </c>
      <c r="E96" s="15">
        <v>60000</v>
      </c>
      <c r="F96" s="15">
        <v>110000</v>
      </c>
      <c r="G96" s="15">
        <v>220000</v>
      </c>
      <c r="H96" s="38">
        <v>280000</v>
      </c>
      <c r="I96" s="15">
        <v>380000</v>
      </c>
      <c r="J96" s="15">
        <v>500000</v>
      </c>
      <c r="K96" s="15"/>
      <c r="L96" s="10"/>
      <c r="M96" s="10"/>
    </row>
    <row r="97" spans="1:13" ht="15">
      <c r="A97" s="9" t="s">
        <v>70</v>
      </c>
      <c r="B97" s="10" t="s">
        <v>73</v>
      </c>
      <c r="C97" s="15">
        <v>12800</v>
      </c>
      <c r="D97" s="15">
        <f>C97</f>
        <v>12800</v>
      </c>
      <c r="E97" s="15">
        <f>C97</f>
        <v>12800</v>
      </c>
      <c r="F97" s="15">
        <f>C97</f>
        <v>12800</v>
      </c>
      <c r="G97" s="15">
        <f>C97</f>
        <v>12800</v>
      </c>
      <c r="H97" s="38">
        <f>C97</f>
        <v>12800</v>
      </c>
      <c r="I97" s="15">
        <f>C97</f>
        <v>12800</v>
      </c>
      <c r="J97" s="15">
        <f>C97</f>
        <v>12800</v>
      </c>
      <c r="K97" s="15"/>
      <c r="L97" s="10"/>
      <c r="M97" s="10"/>
    </row>
    <row r="98" spans="1:13" ht="15">
      <c r="A98" s="9" t="s">
        <v>71</v>
      </c>
      <c r="B98" s="10" t="s">
        <v>75</v>
      </c>
      <c r="C98" s="15">
        <v>44000</v>
      </c>
      <c r="D98" s="15">
        <f>C98</f>
        <v>44000</v>
      </c>
      <c r="E98" s="15">
        <f>C98</f>
        <v>44000</v>
      </c>
      <c r="F98" s="15">
        <f>C98</f>
        <v>44000</v>
      </c>
      <c r="G98" s="15">
        <f>C98</f>
        <v>44000</v>
      </c>
      <c r="H98" s="38">
        <f>C98</f>
        <v>44000</v>
      </c>
      <c r="I98" s="15">
        <f>C98</f>
        <v>44000</v>
      </c>
      <c r="J98" s="15">
        <f>C98</f>
        <v>44000</v>
      </c>
      <c r="K98" s="15"/>
      <c r="L98" s="10"/>
      <c r="M98" s="10"/>
    </row>
    <row r="99" spans="1:13" ht="15">
      <c r="A99" s="9" t="s">
        <v>72</v>
      </c>
      <c r="B99" s="10" t="s">
        <v>75</v>
      </c>
      <c r="C99" s="15">
        <v>28000</v>
      </c>
      <c r="D99" s="15">
        <f>C99</f>
        <v>28000</v>
      </c>
      <c r="E99" s="15">
        <f>C99</f>
        <v>28000</v>
      </c>
      <c r="F99" s="15">
        <f>C99</f>
        <v>28000</v>
      </c>
      <c r="G99" s="15">
        <f>C99</f>
        <v>28000</v>
      </c>
      <c r="H99" s="38">
        <f>C99</f>
        <v>28000</v>
      </c>
      <c r="I99" s="15">
        <f>C99</f>
        <v>28000</v>
      </c>
      <c r="J99" s="15">
        <f>C99</f>
        <v>28000</v>
      </c>
      <c r="K99" s="15"/>
      <c r="L99" s="10"/>
      <c r="M99" s="10"/>
    </row>
  </sheetData>
  <autoFilter ref="C3:M99" xr:uid="{00000000-0001-0000-0000-000000000000}"/>
  <mergeCells count="6">
    <mergeCell ref="K2:K3"/>
    <mergeCell ref="L2:L3"/>
    <mergeCell ref="M2:M3"/>
    <mergeCell ref="C2:J2"/>
    <mergeCell ref="A2:A3"/>
    <mergeCell ref="B2:B3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2024-03-17T16:51:39Z</cp:lastPrinted>
  <dcterms:created xsi:type="dcterms:W3CDTF">2024-03-16T18:53:19Z</dcterms:created>
  <dcterms:modified xsi:type="dcterms:W3CDTF">2025-12-25T14:53:49Z</dcterms:modified>
</cp:coreProperties>
</file>